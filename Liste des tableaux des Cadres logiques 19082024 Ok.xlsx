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ARRDEL ENSPY PROJET\Analyse des PCD\"/>
    </mc:Choice>
  </mc:AlternateContent>
  <bookViews>
    <workbookView xWindow="-120" yWindow="-120" windowWidth="21690" windowHeight="9090"/>
  </bookViews>
  <sheets>
    <sheet name="32 Cadre L ogiqueBfssam 1er" sheetId="78" r:id="rId1"/>
    <sheet name="33. Coût estimatif du PCD" sheetId="75" r:id="rId2"/>
    <sheet name="64 bis Bfsamm 1er" sheetId="77" r:id="rId3"/>
  </sheets>
  <definedNames>
    <definedName name="_bookmark56" localSheetId="0">'32 Cadre L ogiqueBfssam 1er'!$D$3</definedName>
    <definedName name="_bookmark58" localSheetId="0">'32 Cadre L ogiqueBfssam 1er'!#REF!</definedName>
    <definedName name="_bookmark59" localSheetId="0">'32 Cadre L ogiqueBfssam 1er'!#REF!</definedName>
    <definedName name="_bookmark60" localSheetId="0">'32 Cadre L ogiqueBfssam 1er'!#REF!</definedName>
    <definedName name="_bookmark61" localSheetId="0">'32 Cadre L ogiqueBfssam 1er'!#REF!</definedName>
    <definedName name="_bookmark62" localSheetId="0">'32 Cadre L ogiqueBfssam 1er'!#REF!</definedName>
    <definedName name="_bookmark63" localSheetId="0">'32 Cadre L ogiqueBfssam 1er'!#REF!</definedName>
    <definedName name="_bookmark64" localSheetId="0">'32 Cadre L ogiqueBfssam 1er'!#REF!</definedName>
    <definedName name="_bookmark66" localSheetId="0">'32 Cadre L ogiqueBfssam 1er'!#REF!</definedName>
    <definedName name="_bookmark67" localSheetId="0">'32 Cadre L ogiqueBfssam 1er'!#REF!</definedName>
    <definedName name="_bookmark68" localSheetId="0">'32 Cadre L ogiqueBfssam 1er'!#REF!</definedName>
    <definedName name="_bookmark69" localSheetId="0">'32 Cadre L ogiqueBfssam 1er'!#REF!</definedName>
    <definedName name="_bookmark70" localSheetId="0">'32 Cadre L ogiqueBfssam 1er'!#REF!</definedName>
    <definedName name="_bookmark72" localSheetId="0">'32 Cadre L ogiqueBfssam 1er'!#REF!</definedName>
    <definedName name="_bookmark73" localSheetId="0">'32 Cadre L ogiqueBfssam 1er'!#REF!</definedName>
    <definedName name="_bookmark75" localSheetId="0">'32 Cadre L ogiqueBfssam 1er'!#REF!</definedName>
    <definedName name="_bookmark76" localSheetId="0">'32 Cadre L ogiqueBfssam 1er'!#REF!</definedName>
    <definedName name="_bookmark77" localSheetId="0">'32 Cadre L ogiqueBfssam 1er'!#REF!</definedName>
    <definedName name="_bookmark78" localSheetId="0">'32 Cadre L ogiqueBfssam 1er'!#REF!</definedName>
    <definedName name="_bookmark79" localSheetId="0">'32 Cadre L ogiqueBfssam 1er'!#REF!</definedName>
    <definedName name="_bookmark80" localSheetId="0">'32 Cadre L ogiqueBfssam 1er'!#REF!</definedName>
    <definedName name="_bookmark81" localSheetId="0">'32 Cadre L ogiqueBfssam 1er'!#REF!</definedName>
    <definedName name="_bookmark82" localSheetId="0">'32 Cadre L ogiqueBfssam 1er'!#REF!</definedName>
    <definedName name="_bookmark83" localSheetId="0">'32 Cadre L ogiqueBfssam 1er'!#REF!</definedName>
    <definedName name="_bookmark84" localSheetId="0">'32 Cadre L ogiqueBfssam 1er'!#REF!</definedName>
    <definedName name="_bookmark85" localSheetId="0">'32 Cadre L ogiqueBfssam 1er'!#REF!</definedName>
    <definedName name="_bookmark86" localSheetId="0">'32 Cadre L ogiqueBfssam 1er'!#REF!</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8" i="75" l="1"/>
  <c r="G948" i="78"/>
  <c r="G941" i="78"/>
  <c r="G38" i="75"/>
  <c r="G1043" i="78"/>
  <c r="G1035" i="78"/>
  <c r="G1036" i="78" s="1"/>
  <c r="G30" i="75" s="1"/>
  <c r="G1023" i="78"/>
  <c r="G1015" i="78"/>
  <c r="G1009" i="78"/>
  <c r="G992" i="78"/>
  <c r="G989" i="78"/>
  <c r="G970" i="78"/>
  <c r="G968" i="78"/>
  <c r="G966" i="78"/>
  <c r="G947" i="78"/>
  <c r="G936" i="78"/>
  <c r="G922" i="78"/>
  <c r="G916" i="78"/>
  <c r="G911" i="78"/>
  <c r="G913" i="78"/>
  <c r="G897" i="78"/>
  <c r="G895" i="78"/>
  <c r="G893" i="78"/>
  <c r="G878" i="78"/>
  <c r="G873" i="78"/>
  <c r="G861" i="78"/>
  <c r="G859" i="78"/>
  <c r="G854" i="78"/>
  <c r="G841" i="78"/>
  <c r="G834" i="78"/>
  <c r="G820" i="78"/>
  <c r="G818" i="78"/>
  <c r="G816" i="78"/>
  <c r="G814" i="78"/>
  <c r="G808" i="78"/>
  <c r="G802" i="78"/>
  <c r="G784" i="78"/>
  <c r="G779" i="78"/>
  <c r="G776" i="78"/>
  <c r="G771" i="78"/>
  <c r="G755" i="78"/>
  <c r="G746" i="78"/>
  <c r="G734" i="78"/>
  <c r="G736" i="78" s="1"/>
  <c r="G25" i="75" s="1"/>
  <c r="G717" i="78"/>
  <c r="G712" i="78"/>
  <c r="G707" i="78"/>
  <c r="G704" i="78"/>
  <c r="G699" i="78"/>
  <c r="G993" i="78" l="1"/>
  <c r="G40" i="75" s="1"/>
  <c r="G971" i="78"/>
  <c r="G27" i="75" s="1"/>
  <c r="G923" i="78"/>
  <c r="G23" i="75" s="1"/>
  <c r="G898" i="78"/>
  <c r="G22" i="75" s="1"/>
  <c r="G882" i="78"/>
  <c r="G21" i="75" s="1"/>
  <c r="G862" i="78"/>
  <c r="G20" i="75" s="1"/>
  <c r="G842" i="78"/>
  <c r="G36" i="75" s="1"/>
  <c r="G821" i="78"/>
  <c r="G12" i="75" s="1"/>
  <c r="G785" i="78"/>
  <c r="G26" i="75" s="1"/>
  <c r="G756" i="78"/>
  <c r="G37" i="75" s="1"/>
  <c r="G718" i="78"/>
  <c r="G33" i="75" s="1"/>
  <c r="G678" i="78"/>
  <c r="G649" i="78"/>
  <c r="G651" i="78" s="1"/>
  <c r="G681" i="78"/>
  <c r="G673" i="78"/>
  <c r="G671" i="78"/>
  <c r="G667" i="78"/>
  <c r="G664" i="78"/>
  <c r="G661" i="78"/>
  <c r="G647" i="78"/>
  <c r="G645" i="78"/>
  <c r="G657" i="78"/>
  <c r="G621" i="78"/>
  <c r="G619" i="78"/>
  <c r="G613" i="78"/>
  <c r="G596" i="78"/>
  <c r="G589" i="78"/>
  <c r="G571" i="78"/>
  <c r="G567" i="78"/>
  <c r="G552" i="78"/>
  <c r="G549" i="78"/>
  <c r="G545" i="78"/>
  <c r="G539" i="78"/>
  <c r="G536" i="78"/>
  <c r="G516" i="78"/>
  <c r="G512" i="78"/>
  <c r="G507" i="78"/>
  <c r="G501" i="78"/>
  <c r="G520" i="78"/>
  <c r="G518" i="78"/>
  <c r="G481" i="78"/>
  <c r="G477" i="78"/>
  <c r="G473" i="78"/>
  <c r="G468" i="78"/>
  <c r="G654" i="78" l="1"/>
  <c r="G682" i="78" s="1"/>
  <c r="G32" i="75" s="1"/>
  <c r="G597" i="78"/>
  <c r="G24" i="75" s="1"/>
  <c r="G622" i="78"/>
  <c r="G31" i="75" s="1"/>
  <c r="G572" i="78"/>
  <c r="G35" i="75" s="1"/>
  <c r="G553" i="78"/>
  <c r="G34" i="75" s="1"/>
  <c r="G521" i="78"/>
  <c r="G10" i="75" s="1"/>
  <c r="G482" i="78"/>
  <c r="G15" i="75" s="1"/>
  <c r="G452" i="78"/>
  <c r="G447" i="78"/>
  <c r="G443" i="78"/>
  <c r="G439" i="78"/>
  <c r="G434" i="78"/>
  <c r="G430" i="78"/>
  <c r="G425" i="78"/>
  <c r="G421" i="78"/>
  <c r="G396" i="78"/>
  <c r="G17" i="75" s="1"/>
  <c r="G381" i="78"/>
  <c r="G378" i="78"/>
  <c r="G372" i="78"/>
  <c r="G366" i="78"/>
  <c r="G361" i="78"/>
  <c r="G454" i="78" l="1"/>
  <c r="G14" i="75" s="1"/>
  <c r="G382" i="78"/>
  <c r="G18" i="75" s="1"/>
  <c r="G339" i="78"/>
  <c r="G332" i="78"/>
  <c r="G325" i="78"/>
  <c r="G327" i="78" s="1"/>
  <c r="G322" i="78"/>
  <c r="G317" i="78"/>
  <c r="G242" i="78"/>
  <c r="G237" i="78"/>
  <c r="G227" i="78"/>
  <c r="G297" i="78"/>
  <c r="G292" i="78"/>
  <c r="G287" i="78"/>
  <c r="G281" i="78"/>
  <c r="G278" i="78"/>
  <c r="G272" i="78"/>
  <c r="G267" i="78"/>
  <c r="G263" i="78"/>
  <c r="G258" i="78"/>
  <c r="G255" i="78"/>
  <c r="G251" i="78"/>
  <c r="G247" i="78"/>
  <c r="G340" i="78" l="1"/>
  <c r="G19" i="75" s="1"/>
  <c r="G298" i="78"/>
  <c r="G9" i="75" s="1"/>
  <c r="G186" i="78"/>
  <c r="G181" i="78"/>
  <c r="G173" i="78"/>
  <c r="G168" i="78"/>
  <c r="G163" i="78"/>
  <c r="G198" i="78"/>
  <c r="G196" i="78"/>
  <c r="G192" i="78"/>
  <c r="G189" i="78"/>
  <c r="G176" i="78"/>
  <c r="G141" i="78"/>
  <c r="G136" i="78"/>
  <c r="G131" i="78"/>
  <c r="G126" i="78"/>
  <c r="G105" i="78"/>
  <c r="G100" i="78"/>
  <c r="G98" i="78"/>
  <c r="G82" i="78"/>
  <c r="G76" i="78"/>
  <c r="G74" i="78"/>
  <c r="G72" i="78"/>
  <c r="G70" i="78"/>
  <c r="G50" i="78"/>
  <c r="G47" i="78"/>
  <c r="G32" i="78"/>
  <c r="G30" i="78"/>
  <c r="G27" i="78"/>
  <c r="G199" i="78" l="1"/>
  <c r="G11" i="75" s="1"/>
  <c r="G142" i="78"/>
  <c r="G8" i="75" s="1"/>
  <c r="G106" i="78"/>
  <c r="G7" i="75" s="1"/>
  <c r="G83" i="78"/>
  <c r="G6" i="75" s="1"/>
  <c r="G51" i="78"/>
  <c r="G5" i="75" s="1"/>
  <c r="G1018" i="78"/>
  <c r="G1024" i="78" s="1"/>
  <c r="G29" i="75" s="1"/>
  <c r="G50" i="75" l="1"/>
  <c r="M75" i="77" l="1"/>
  <c r="K75" i="77"/>
  <c r="J75" i="77"/>
  <c r="I75" i="77"/>
  <c r="H75" i="77"/>
  <c r="G75" i="77"/>
  <c r="F75" i="77"/>
  <c r="E75" i="77"/>
  <c r="D75" i="77"/>
  <c r="M74" i="77"/>
  <c r="K74" i="77"/>
  <c r="J74" i="77"/>
  <c r="I74" i="77"/>
  <c r="H74" i="77"/>
  <c r="G74" i="77"/>
  <c r="F74" i="77"/>
  <c r="E74" i="77"/>
  <c r="D74" i="77"/>
  <c r="AB53" i="75"/>
  <c r="AA53" i="75"/>
  <c r="Z53" i="75"/>
  <c r="Y53" i="75"/>
  <c r="X53" i="75"/>
  <c r="W53" i="75"/>
  <c r="V53" i="75"/>
  <c r="U53" i="75"/>
  <c r="T53" i="75"/>
  <c r="R53" i="75"/>
  <c r="P53" i="75"/>
  <c r="O53" i="75"/>
  <c r="N53" i="75"/>
  <c r="M53" i="75"/>
  <c r="K53" i="75"/>
  <c r="J53" i="75"/>
  <c r="H53" i="75"/>
  <c r="F53" i="75"/>
  <c r="E53" i="75"/>
  <c r="D53" i="75"/>
  <c r="C53" i="75"/>
  <c r="AB52" i="75"/>
  <c r="AA52" i="75"/>
  <c r="Z52" i="75"/>
  <c r="Y52" i="75"/>
  <c r="X52" i="75"/>
  <c r="W52" i="75"/>
  <c r="V52" i="75"/>
  <c r="U52" i="75"/>
  <c r="T52" i="75"/>
  <c r="R52" i="75"/>
  <c r="P52" i="75"/>
  <c r="O52" i="75"/>
  <c r="N52" i="75"/>
  <c r="M52" i="75"/>
  <c r="K52" i="75"/>
  <c r="J52" i="75"/>
  <c r="H52" i="75"/>
  <c r="F52" i="75"/>
  <c r="E52" i="75"/>
  <c r="D52" i="75"/>
  <c r="C52" i="75"/>
  <c r="AC51" i="75"/>
  <c r="AB50" i="75"/>
  <c r="AA50" i="75"/>
  <c r="Z50" i="75"/>
  <c r="Y50" i="75"/>
  <c r="X50" i="75"/>
  <c r="W50" i="75"/>
  <c r="V50" i="75"/>
  <c r="U50" i="75"/>
  <c r="T50" i="75"/>
  <c r="S50" i="75"/>
  <c r="R50" i="75"/>
  <c r="Q50" i="75"/>
  <c r="P50" i="75"/>
  <c r="O50" i="75"/>
  <c r="N50" i="75"/>
  <c r="M50" i="75"/>
  <c r="L50" i="75"/>
  <c r="K50" i="75"/>
  <c r="J50" i="75"/>
  <c r="I50" i="75"/>
  <c r="H50" i="75"/>
  <c r="G52" i="75"/>
  <c r="F50" i="75"/>
  <c r="E50" i="75"/>
  <c r="D50" i="75"/>
  <c r="C50" i="75"/>
  <c r="AC49" i="75"/>
  <c r="AC48" i="75"/>
  <c r="AC47" i="75"/>
  <c r="AC46" i="75"/>
  <c r="AC45" i="75"/>
  <c r="AC44" i="75"/>
  <c r="AC43" i="75"/>
  <c r="AC42" i="75"/>
  <c r="AC41" i="75"/>
  <c r="AC40" i="75"/>
  <c r="AC39" i="75"/>
  <c r="AC38" i="75"/>
  <c r="AC37" i="75"/>
  <c r="AC36" i="75"/>
  <c r="AC35" i="75"/>
  <c r="AC34" i="75"/>
  <c r="AC33" i="75"/>
  <c r="AC32" i="75"/>
  <c r="AC31" i="75"/>
  <c r="AC30" i="75"/>
  <c r="AC29" i="75"/>
  <c r="AC28" i="75"/>
  <c r="AC27" i="75"/>
  <c r="AC26" i="75"/>
  <c r="AC25" i="75"/>
  <c r="AC24" i="75"/>
  <c r="AC23" i="75"/>
  <c r="AC20" i="75"/>
  <c r="AC19" i="75"/>
  <c r="A19" i="75"/>
  <c r="A20" i="75" s="1"/>
  <c r="A23" i="75" s="1"/>
  <c r="A24" i="75" s="1"/>
  <c r="A25" i="75" s="1"/>
  <c r="A26" i="75" s="1"/>
  <c r="A27" i="75" s="1"/>
  <c r="A28" i="75" s="1"/>
  <c r="A29" i="75" s="1"/>
  <c r="A30" i="75" s="1"/>
  <c r="A31" i="75" s="1"/>
  <c r="A32" i="75" s="1"/>
  <c r="A33" i="75" s="1"/>
  <c r="A34" i="75" s="1"/>
  <c r="A35" i="75" s="1"/>
  <c r="A36" i="75" s="1"/>
  <c r="A37" i="75" s="1"/>
  <c r="A38" i="75" s="1"/>
  <c r="A39" i="75" s="1"/>
  <c r="A40" i="75" s="1"/>
  <c r="A41" i="75" s="1"/>
  <c r="A42" i="75" s="1"/>
  <c r="A43" i="75" s="1"/>
  <c r="A44" i="75" s="1"/>
  <c r="A45" i="75" s="1"/>
  <c r="A46" i="75" s="1"/>
  <c r="A47" i="75" s="1"/>
  <c r="A48" i="75" s="1"/>
  <c r="A49" i="75" s="1"/>
  <c r="AC18" i="75"/>
  <c r="A18" i="75"/>
  <c r="AC17" i="75"/>
  <c r="A17" i="75"/>
  <c r="AC16" i="75"/>
  <c r="AC15" i="75"/>
  <c r="AC14" i="75"/>
  <c r="AC13" i="75"/>
  <c r="AC12" i="75"/>
  <c r="AC11" i="75"/>
  <c r="AC10" i="75"/>
  <c r="AC9" i="75"/>
  <c r="AC8" i="75"/>
  <c r="AC7" i="75"/>
  <c r="AC6" i="75"/>
  <c r="A6" i="75"/>
  <c r="A7" i="75" s="1"/>
  <c r="A8" i="75" s="1"/>
  <c r="A9" i="75" s="1"/>
  <c r="A10" i="75" s="1"/>
  <c r="A11" i="75" s="1"/>
  <c r="AC5" i="75"/>
  <c r="F142" i="78"/>
  <c r="F51" i="78"/>
  <c r="AC50" i="75" l="1"/>
  <c r="AC53" i="75" s="1"/>
  <c r="G53" i="75"/>
  <c r="AC52" i="75" l="1"/>
</calcChain>
</file>

<file path=xl/sharedStrings.xml><?xml version="1.0" encoding="utf-8"?>
<sst xmlns="http://schemas.openxmlformats.org/spreadsheetml/2006/main" count="3403" uniqueCount="1908">
  <si>
    <t>Petite enfance</t>
  </si>
  <si>
    <t>Agriculture</t>
  </si>
  <si>
    <t>Economie locale</t>
  </si>
  <si>
    <t>N°</t>
  </si>
  <si>
    <t>Année du PCD</t>
  </si>
  <si>
    <t>Total</t>
  </si>
  <si>
    <t>Culture</t>
  </si>
  <si>
    <t>MINEFOP</t>
  </si>
  <si>
    <t>MINSANTE</t>
  </si>
  <si>
    <t>MINEDUB</t>
  </si>
  <si>
    <t>MINESEC</t>
  </si>
  <si>
    <t>MINCOMMERCE</t>
  </si>
  <si>
    <t>Secteur</t>
  </si>
  <si>
    <t>Tourisme et Loisirs</t>
  </si>
  <si>
    <t>Forêt et faune</t>
  </si>
  <si>
    <t>Travaux publics</t>
  </si>
  <si>
    <t>Education de base</t>
  </si>
  <si>
    <t>Difficulté d’accès à une éducation de qualité</t>
  </si>
  <si>
    <t>Affaires sociales</t>
  </si>
  <si>
    <t>Commerce</t>
  </si>
  <si>
    <t>PM</t>
  </si>
  <si>
    <t>Coût</t>
  </si>
  <si>
    <t>Logique d’intervention</t>
  </si>
  <si>
    <t>Objectif global</t>
  </si>
  <si>
    <t>Objectifs spécifiques</t>
  </si>
  <si>
    <t>Résultats</t>
  </si>
  <si>
    <t>Activités</t>
  </si>
  <si>
    <t>Indicateur objectivement vérifiable</t>
  </si>
  <si>
    <t>-</t>
  </si>
  <si>
    <t>Enseignement secondaire</t>
  </si>
  <si>
    <t>Environnement et Protection de la Nature</t>
  </si>
  <si>
    <t>Habitat et Développement Urbain</t>
  </si>
  <si>
    <t>Industries, Mines et Développement Technologique</t>
  </si>
  <si>
    <t>Transport</t>
  </si>
  <si>
    <t>Communication</t>
  </si>
  <si>
    <t>MINEPIA</t>
  </si>
  <si>
    <t>MINJEC</t>
  </si>
  <si>
    <t>MINHDU</t>
  </si>
  <si>
    <t>MINTP</t>
  </si>
  <si>
    <t>Montant</t>
  </si>
  <si>
    <t>MINAS</t>
  </si>
  <si>
    <t>Institutuion communale</t>
  </si>
  <si>
    <t>Elevage et pêche et industrie animale</t>
  </si>
  <si>
    <t>Santé publique</t>
  </si>
  <si>
    <t>Jeunesse et éducation Civique</t>
  </si>
  <si>
    <t>Assainissement</t>
  </si>
  <si>
    <t>Eau</t>
  </si>
  <si>
    <t>Energie</t>
  </si>
  <si>
    <t>Produits pétroliers</t>
  </si>
  <si>
    <t>Promotion de la femme et famille</t>
  </si>
  <si>
    <t>Domaine affaires foncières</t>
  </si>
  <si>
    <t>Poste et Télécommunication</t>
  </si>
  <si>
    <t>Emploi et formation professionnelle</t>
  </si>
  <si>
    <t>Travail et Sécurité Sociale</t>
  </si>
  <si>
    <t>Sport et éducation physique</t>
  </si>
  <si>
    <t>Recherche Scientifique et de l’Innovation</t>
  </si>
  <si>
    <t>Enseignement supérieur</t>
  </si>
  <si>
    <t>VIH</t>
  </si>
  <si>
    <t>Pygmées</t>
  </si>
  <si>
    <t>Personnes vulnérables</t>
  </si>
  <si>
    <t>Changement climatiques</t>
  </si>
  <si>
    <t>Paysage espace urbain</t>
  </si>
  <si>
    <t>Paysage espace rural</t>
  </si>
  <si>
    <t>Imprévus</t>
  </si>
  <si>
    <t>Moyens</t>
  </si>
  <si>
    <t>²</t>
  </si>
  <si>
    <t>Difficulté d’accès à l’eau potable</t>
  </si>
  <si>
    <t>Difficulté à faire développer le centre urbain</t>
  </si>
  <si>
    <t>Décentralisation et Développement Local</t>
  </si>
  <si>
    <t>BABADJOU                 Montant (en F CFA)</t>
  </si>
  <si>
    <t>MBOUDA           Montant (en F CFA)</t>
  </si>
  <si>
    <t>BAFOUSSAM 3        Montant (en F CFA)</t>
  </si>
  <si>
    <t>BAFOUSSAM 2       Montant (en F CFA)</t>
  </si>
  <si>
    <t>BAFOUSSAM 1      Montant (en F CFA)</t>
  </si>
  <si>
    <t>BAFANG       Montant (en F CFA)</t>
  </si>
  <si>
    <t>BAKOU       Montant (en F CFA)</t>
  </si>
  <si>
    <t>BANA       Montant (en F CFA)</t>
  </si>
  <si>
    <t>BANDJA       Montant (en F CFA)</t>
  </si>
  <si>
    <t>BANKA       Montant (en F CFA)</t>
  </si>
  <si>
    <t>BANWA       Montant (en F CFA)</t>
  </si>
  <si>
    <t>KEKEM          Montant (en F CFA)</t>
  </si>
  <si>
    <t>BANGANTE       Montant (en F CFA)</t>
  </si>
  <si>
    <t>BANGOU       Montant (en F CFA)</t>
  </si>
  <si>
    <t>BASSAMBA       Montant (en F CFA)</t>
  </si>
  <si>
    <t>BAZOU           Montant (en F CFA)</t>
  </si>
  <si>
    <t>TONGA           Montant (en F CFA)</t>
  </si>
  <si>
    <t>BAHAM       Montant (en F CFA)</t>
  </si>
  <si>
    <t>BAMENDJOU      Montant (en F CFA)</t>
  </si>
  <si>
    <t>BATIE           Montant (en F CFA)</t>
  </si>
  <si>
    <t>BAYANGAM           Montant (en F CFA)</t>
  </si>
  <si>
    <t>DSCHANG           Montant (en F CFA)</t>
  </si>
  <si>
    <t>FOKOUE         Montant (en F CFA)</t>
  </si>
  <si>
    <t>FONGO-TONGO          Montant (en F CFA)</t>
  </si>
  <si>
    <t>FOUMBOT         Montant (en F CFA)</t>
  </si>
  <si>
    <t>KOUTABA           Montant (en F CFA)</t>
  </si>
  <si>
    <t>TOTAL OUEST</t>
  </si>
  <si>
    <t>Administration Territoriale, sécurité et maintien de l’ordre</t>
  </si>
  <si>
    <t xml:space="preserve">Economie, planification et aménagement </t>
  </si>
  <si>
    <t>TOTAL CALCULE</t>
  </si>
  <si>
    <t>COUT ESTIMATIF DANS LE PCD</t>
  </si>
  <si>
    <t>ECART (en F CFA)</t>
  </si>
  <si>
    <t>ECART (%)</t>
  </si>
  <si>
    <t>Tableau 33 : Coût estimatif des PCD</t>
  </si>
  <si>
    <t>31. Tableau de synthèse des microprojets prioritaires par village</t>
  </si>
  <si>
    <t>Village/Es pace urbain</t>
  </si>
  <si>
    <t>Rang des projets sociaux prioritaires</t>
  </si>
  <si>
    <r>
      <t>1</t>
    </r>
    <r>
      <rPr>
        <b/>
        <sz val="6"/>
        <color theme="1"/>
        <rFont val="Arial"/>
        <family val="2"/>
      </rPr>
      <t>er</t>
    </r>
  </si>
  <si>
    <r>
      <t>2</t>
    </r>
    <r>
      <rPr>
        <b/>
        <sz val="6"/>
        <color theme="1"/>
        <rFont val="Arial"/>
        <family val="2"/>
      </rPr>
      <t>ème</t>
    </r>
  </si>
  <si>
    <r>
      <t>3</t>
    </r>
    <r>
      <rPr>
        <b/>
        <sz val="6"/>
        <color theme="1"/>
        <rFont val="Arial"/>
        <family val="2"/>
      </rPr>
      <t>ème</t>
    </r>
  </si>
  <si>
    <r>
      <t>4</t>
    </r>
    <r>
      <rPr>
        <b/>
        <sz val="6"/>
        <color theme="1"/>
        <rFont val="Arial"/>
        <family val="2"/>
      </rPr>
      <t>ème</t>
    </r>
  </si>
  <si>
    <r>
      <t>5</t>
    </r>
    <r>
      <rPr>
        <b/>
        <sz val="6"/>
        <color theme="1"/>
        <rFont val="Arial"/>
        <family val="2"/>
      </rPr>
      <t>ème</t>
    </r>
  </si>
  <si>
    <t>MEDJO I</t>
  </si>
  <si>
    <t>Aménagement de 5km de la route principale de Medjo I : Axe : Medjo I/ INO → Plaque</t>
  </si>
  <si>
    <t>Affectation de deux (2) enseignants pour l’Ecole Publique de Medjo I</t>
  </si>
  <si>
    <t>Construction d’un marché périodique</t>
  </si>
  <si>
    <t>TCHO</t>
  </si>
  <si>
    <t>Difficulté à exécuter des activités génératrice de revenus et de transformation des produits agricoles</t>
  </si>
  <si>
    <t>MVOUTS A’A</t>
  </si>
  <si>
    <t>NDEMSIE M</t>
  </si>
  <si>
    <t>NDIENGD AM II</t>
  </si>
  <si>
    <t>Mise en place d’un point de distribution des intrants agropastorau x améliorés</t>
  </si>
  <si>
    <t>Difficulté à avoir</t>
  </si>
  <si>
    <t>BANEFO</t>
  </si>
  <si>
    <t>NDIENGD AM I</t>
  </si>
  <si>
    <t>Construction de 02 bloc de latrines dans l’école Publique de Vava,</t>
  </si>
  <si>
    <t>Construction de 02 blocs de latrines dans l’école Publique de Vava,</t>
  </si>
  <si>
    <t>MEDJO II</t>
  </si>
  <si>
    <t>MELAM I</t>
  </si>
  <si>
    <t>Création d’un CES à MELAM 1</t>
  </si>
  <si>
    <t>Création d’un CETIC  à MELAM 1</t>
  </si>
  <si>
    <t>Construction d’un centre d’épuration des déchets spéciaux</t>
  </si>
  <si>
    <t>Difficulter à assainir la commune</t>
  </si>
  <si>
    <t>FAMCEP</t>
  </si>
  <si>
    <t>Difficulté d’avoir accès à l’eau potable dans le village</t>
  </si>
  <si>
    <t>NDIENGS O II</t>
  </si>
  <si>
    <t>KOUEKO NG</t>
  </si>
  <si>
    <t>Construction du marché de KOUEKONG,</t>
  </si>
  <si>
    <t>Construction d’un magasin de stockage des vivres frais</t>
  </si>
  <si>
    <t>Difficulté d’évacuation des produits agricole et de mener les AGR</t>
  </si>
  <si>
    <t>NJINGA I</t>
  </si>
  <si>
    <t>Construction et équipement d’un bâtiment de deux salles de classe à l’école publique de NJINGA I</t>
  </si>
  <si>
    <t>Construction du marché de à sacta</t>
  </si>
  <si>
    <t>Construction et équipement d’un bâtiment de deux salles de classe à l’école publique de NJINGA</t>
  </si>
  <si>
    <t>BATOUK OP</t>
  </si>
  <si>
    <t>BANENG O VILLAGE III</t>
  </si>
  <si>
    <t>Création d’un CES dans Banengo village III</t>
  </si>
  <si>
    <t>Extension du réseau CDE dans le village</t>
  </si>
  <si>
    <t>Extension du réseau dans le village</t>
  </si>
  <si>
    <t>Construction d’un marché à Banengo Village III, au carrefour TAMA</t>
  </si>
  <si>
    <t>Construction du Pont derrière le Collège de la Cité ;</t>
  </si>
  <si>
    <t>Difficulté à accéder aux infrastructures marchandes et à mener les activités génératrices de revenus</t>
  </si>
  <si>
    <t>MELAM II</t>
  </si>
  <si>
    <t>Extension du réseau électrique sur 3 km de Kouofo jusqu’à chez Deffo Tamghe</t>
  </si>
  <si>
    <t>Equipement de l’Ecole publique de Kouopfo en 40 tables bancs</t>
  </si>
  <si>
    <t>Construction de la clôture du CSI de Mélam</t>
  </si>
  <si>
    <t>Achat d’un groupe électrogène pour la station de pompage de l’adduction d’eau potable de Melam 2</t>
  </si>
  <si>
    <t>NDIENGS O I</t>
  </si>
  <si>
    <t>Réhabilitation de 03 points d’eau dans le village à : Kaptue(Simfo), Mela (carrefour TAMO Claude, Ecole Publique)</t>
  </si>
  <si>
    <t>NJINGA II</t>
  </si>
  <si>
    <t>Création et construction d’un bloc de deux salles de classe dans l’ Ecole Publique et maternelle bilingue à Njingha 2</t>
  </si>
  <si>
    <t>Construction de 01 bloc de latrines dans l’école Publique de Njingah II</t>
  </si>
  <si>
    <t>Mise en place d’un point de distribution des intrants améliorés d’élevage (souches améliorées de porcs, chèvres, lapins et équipement s) à Njinga II</t>
  </si>
  <si>
    <t>Extension du réseau électrique dans toutes les rues du village</t>
  </si>
  <si>
    <t>TOMDJO</t>
  </si>
  <si>
    <t>Construction d’un bloc latrine à l’Ecole Publique primaire et maternelle bilingue de Tomdjo (en cours)</t>
  </si>
  <si>
    <t>Construction du marché de Tougniet</t>
  </si>
  <si>
    <t>Constructio n d’une barrière de pluie</t>
  </si>
  <si>
    <t>Difficulté d’évacuation des produits agricoles</t>
  </si>
  <si>
    <t>King palace (05 blocs)</t>
  </si>
  <si>
    <t>Construction du pont de l’axe de la chefferie vers l’école DEUNKOU</t>
  </si>
  <si>
    <r>
      <t>Extension du réseau CDE sur l’axe 2</t>
    </r>
    <r>
      <rPr>
        <sz val="6"/>
        <color theme="1"/>
        <rFont val="Arial"/>
        <family val="2"/>
      </rPr>
      <t xml:space="preserve">ème </t>
    </r>
    <r>
      <rPr>
        <sz val="9"/>
        <color theme="1"/>
        <rFont val="Arial"/>
        <family val="2"/>
      </rPr>
      <t>Carrefour Evéché au collège Luther sur 1 Km</t>
    </r>
  </si>
  <si>
    <t>Extension du réseau CDE sur l’axe Entrée Evéché au domicile du chef de quartier sur 1km</t>
  </si>
  <si>
    <t>Difficulté de déplacement des personnes, des biens et des services</t>
  </si>
  <si>
    <t>Banengo I (09 blocs)</t>
  </si>
  <si>
    <t>Repofilage l’axe Madelon Cerson sur 2 Km</t>
  </si>
  <si>
    <t>Construction du pont qui relie Bamendzi I à Houkaha</t>
  </si>
  <si>
    <t>Reprofilage des routes existantes (08 km), Pénétrantes Houkaha</t>
  </si>
  <si>
    <t>Création et construction d’un centre de santé intégré</t>
  </si>
  <si>
    <t>Bamendzi III</t>
  </si>
  <si>
    <t>Création et construction d’un centre de santé intégré à Bamendzi III</t>
  </si>
  <si>
    <t>Construction du pont reliant Djeleng 5 à Banengo ville B</t>
  </si>
  <si>
    <t>Réaménagem ent de la toiture de l’école publique Djeleng 5</t>
  </si>
  <si>
    <t>construction d’une clôture à l’école annexe groupe 3</t>
  </si>
  <si>
    <t>Construction du pont reliant Djeleng 5 à Banengo ville</t>
  </si>
  <si>
    <t>Famla III</t>
  </si>
  <si>
    <t>Bamendzi ville A</t>
  </si>
  <si>
    <t>construction d’un forage au lieu dit « Camp Tapi »</t>
  </si>
  <si>
    <t>Difficulté à d’accès à l’eau potable</t>
  </si>
  <si>
    <t>ouverture de l’axe Noufele- Bamendzi (bloc 3)</t>
  </si>
  <si>
    <t>ouverture l’axe domicile chef du village - Badiengso</t>
  </si>
  <si>
    <t>Banengo II</t>
  </si>
  <si>
    <t>Construction du Pont de Banengo au lieu dit série des villas ;</t>
  </si>
  <si>
    <t>Construction d’un forage public au niveau du PMUC  et à l’arrière du bâtiment</t>
  </si>
  <si>
    <t>BAMEND ZI I BIS</t>
  </si>
  <si>
    <t>Construction d’une borne fontaine à Bamendzi 1 Bis au niveau du Carrefour ENIEG Privée</t>
  </si>
  <si>
    <t>Construction d’un bloc de 05 latrine à l’EP de de Bamendzi Bis</t>
  </si>
  <si>
    <t>Extension du réseau électrique du carrefour double lot vers l’interieur</t>
  </si>
  <si>
    <t>Houkaha</t>
  </si>
  <si>
    <t>Construction et équipement du CSI de Houkaha</t>
  </si>
  <si>
    <t>Construction d’un bloc de 05 latrine à l’EP de Houkaha</t>
  </si>
  <si>
    <t>Intitulé du projet</t>
  </si>
  <si>
    <t>Coût estimatif</t>
  </si>
  <si>
    <t>Justification de la sélection</t>
  </si>
  <si>
    <t>Rang des projets économiques prioritaires</t>
  </si>
  <si>
    <t>Le projet prioritaire sélectionné par chaque village</t>
  </si>
  <si>
    <t>Construction d’un bâtiment de trois salles de classes à l’école maternelle de Medjo I</t>
  </si>
  <si>
    <t>Affectation de quatre (4) enseignants pour la maternelle de Medjo I</t>
  </si>
  <si>
    <t>Création d’un CETIC à Medjo I</t>
  </si>
  <si>
    <t>Mise en place d’un point de distribution des intrants agricoles et semences améliorées</t>
  </si>
  <si>
    <t>Formations des femmes et jeunes aux AGR</t>
  </si>
  <si>
    <t>Electrification du village à partir de la triphasée de Tougnié pour utilisation domestique sur 3 Km. Itinéraire : Tougniè→carre four TAA Claude</t>
  </si>
  <si>
    <t>Reprofilage de 5km de l’axe routier pont TESSEPE→marché Kouvou passant par l’école publique</t>
  </si>
  <si>
    <t>Reprofilage de 3km de l’axe TANGUELE →carrefour TACLO—marché Kouvou</t>
  </si>
  <si>
    <t>Aménagement de l’axe TANGUELE→ TESSEPE sur 4 Km</t>
  </si>
  <si>
    <t>Construction d’un ouvrage de franchisseme nt sur l’axe TAGUELE Pont TESSEPE avant le carrefour Taguele</t>
  </si>
  <si>
    <t>Formations des femmes et jeunes de Ndemsiem aux AGR</t>
  </si>
  <si>
    <t>Construction de 05 blocs de latrines dans les Ecoles Publiques de Mvoutsa'a</t>
  </si>
  <si>
    <t xml:space="preserve"> Réhabilitation du forage en panne à MVOUTSA’A derrière le marché</t>
  </si>
  <si>
    <t>Construction de 02 forages munis d’une pompe à motricité humaine à MVOUTSA’A. Quartier Takoté et Quartier Ndzemna</t>
  </si>
  <si>
    <t>Construction d’un forage muni d’une pompe à motricité humaine à MVOUTSA’A. Quartier Bougan</t>
  </si>
  <si>
    <t>Extension du réseau électrique dans les quartiers Bougan, Dzemna et Tsetsa de Mvoutsa’a 6 Km sur l’axe Kuvou pour utilisation domestique</t>
  </si>
  <si>
    <t>Aménagement de 300m de route menant aux carrières de pierres et latérites à MVOUTSA’A. Axe DZEMNA-carrière</t>
  </si>
  <si>
    <t>Assainissement « Hygiène et salubrité » pour les tout petits de l’école primaire</t>
  </si>
  <si>
    <t>Aménagement de 400m de route menant aux carrières de pierres et latérites à MVOUTSA’A. AXE : route des fermiers - BOUGAM</t>
  </si>
  <si>
    <t>n de 40 comptoirs dans le hangar du marché à MVOUTSA’Constructio A lieu dit Marché KOUVOU</t>
  </si>
  <si>
    <t>Electrification du village à partir de la triphasée de Tougnié pour utilisation domestique sur 3 Km. Itinéraire : Tougniè→carre four TAA Claude Itinéraire : Ndemsiem / Axe Batoukop – Carrefour Deffo Taghi</t>
  </si>
  <si>
    <t xml:space="preserve">Reprofilage de 06 km  de route à Ndemsiem axe central Batoukop – Ndiembou par Kapti. Axe : Ndemsiem/ axe central Batoukop – Ndiembou par Kapti </t>
  </si>
  <si>
    <t>Construction d’un ouvrage de franchisseme nt à Ndemsiem</t>
  </si>
  <si>
    <t>construction d’un forage muni d’une pompe à motricité humaine à Ndemsiem au carrefour Tchouofé</t>
  </si>
  <si>
    <t>Construction d’un forage muni d’une pompe à motricité humaine à Ndemsiem au carrefour Tekou Sindze</t>
  </si>
  <si>
    <t>Mise en place d’un point de distribution des intrants améliorés d’élevage (souches améliorées de porcs, chèvres, lapins et équipements) à Ndemsiem</t>
  </si>
  <si>
    <t>Appui à l’organisation des producteurs en sociétés coopératives à Ndemsiem en intrants agricoles au niveau des sociétés coopératives</t>
  </si>
  <si>
    <t>Electrification du village Ndemsiem à partir de la triphasée de Batoukop sur 5 Km pour usage domestique. Itinéraire : Ndemsiem / Axe Batoukop – Carrefour Deffo Taghi</t>
  </si>
  <si>
    <t>Construction d’un bâtiment de deux salles de classes à de l’école maternelle de NDIENGDAM II</t>
  </si>
  <si>
    <t>Extension du réseau électrique à NDIENGDAM II bloc 3 pour utilisation domestique sur 3,5 Km. Du carrefour rembleur à Toulouse</t>
  </si>
  <si>
    <t>Construction d’un forage muni d’une pompe à motricité humaine à NDIENGDAM II – Bloc 1 au niveau du Carrefour rembleur</t>
  </si>
  <si>
    <t>Construction d’un Pont derrière Total Ndiengdam</t>
  </si>
  <si>
    <t>Construction d’un forage à NDIENGDAM II-Bloc 3 à Toulouse et à Bloc 6 après</t>
  </si>
  <si>
    <t>Extension du réseau CDE de BANEFO du quartier BANEFO 1er à partir de Sacha 4 Km</t>
  </si>
  <si>
    <t>Finalisation du projet de captage en cours à BANEFO du quartier BANEFO 1er 5 Km</t>
  </si>
  <si>
    <t>Remplacement du transformateu r électrique de BANEFO</t>
  </si>
  <si>
    <t>Extension du réseau électrique dans BANEFO sur l’axe Marché kwogou 7 Km</t>
  </si>
  <si>
    <t>Construction des ouvrages de franchisseme nt. BANEFO pont chefferie</t>
  </si>
  <si>
    <t>Extension du réseau CDE de BANEFO du quartier BANEFO 1er à partir de Sacha sur 4 Km</t>
  </si>
  <si>
    <t>Création d’un centre de santé à NDIENGDAM 1</t>
  </si>
  <si>
    <t>Création d’un CES à Ndiangdam I</t>
  </si>
  <si>
    <t>Construction d’une clôture à l’école publique de NDIENGDAM 1</t>
  </si>
  <si>
    <t>Construction d’un bâtiment de trois salles de classe à l’école publique de NDIENGDAM 1.</t>
  </si>
  <si>
    <t>Extension du réseau AES/Sonel à NDIENGDAM 1 sur 3,5 Km pour utilisation domestique. du carrefour Lycée à VAVCVAC</t>
  </si>
  <si>
    <t>Hygiène et salubrité pour les tout petits de l’école primaire</t>
  </si>
  <si>
    <t>Extension du réseau AES/Sonel dans MEDJO 2 pour utilisation domestique et économique sur 4 Km du marché NKAM à Nkounkong</t>
  </si>
  <si>
    <t>Aménagemen t de la route dans MEDJO 2 sur 5 Km de NKAM à Mbougam</t>
  </si>
  <si>
    <t>Construction des ouvrages de franchisseme nt de Nsa – Ba’a</t>
  </si>
  <si>
    <t>Extension du réseau du captage d’eau de MEDJO 2 avec 03 bornes fontaines sur 03 Km pour les quartiers Seh, Doumguem , Kountié</t>
  </si>
  <si>
    <t>Réparation des 03 bornes fontaines en panne à MEDJO 2 pour les quartiers Fondje-Aaron, Wafo- Fam, Defomiafang</t>
  </si>
  <si>
    <t>Construction d’un captage pour un troisième bac de recueillement pour renforcer la capacité du château</t>
  </si>
  <si>
    <t>Création d’une école primaire maternelle bilingue à MELAM 1</t>
  </si>
  <si>
    <t>Construction des ouvrages de franchisseme nt de Lom à MELAM 1</t>
  </si>
  <si>
    <t>Constructio n d’un marché périodique</t>
  </si>
  <si>
    <t>Construction d’un forage à FAMCEP au Lycée</t>
  </si>
  <si>
    <t>Construction d’un forage à FAMCEP au quartier Dagne</t>
  </si>
  <si>
    <t>Construction d’un forage à FAMCEP au quartier Gozet (Ngouodzé)</t>
  </si>
  <si>
    <t>Construction d’un puit busé avec château</t>
  </si>
  <si>
    <t>Reprofilage de l’axe Dangne qui relie FAMCEP à Mvoutsa’a sur 2 Km</t>
  </si>
  <si>
    <t>Extension du réseau AES/SONEL dans FAMCEP</t>
  </si>
  <si>
    <t>Construction et équipement d’un bâtiment de deux salles de classe à l’école publique de Ndiengso II</t>
  </si>
  <si>
    <t>Construction de 1 forage à la chefferie au niveau du poteau 41</t>
  </si>
  <si>
    <t>Construction de l’ouvrage de franchissement de Totchoum en contrebas de la présente structure de la Mairie</t>
  </si>
  <si>
    <t>Construction de 01 bloc de latrines dans l’école Publique de Ndiengso II</t>
  </si>
  <si>
    <t>Construction d’1 puits busé avec château au stade de Ndiengso II,</t>
  </si>
  <si>
    <t>Reprofilage de l’axe de commune au poste de transformateu r sur 3km</t>
  </si>
  <si>
    <t>Difficulté d’accès aux infrastructures de bases</t>
  </si>
  <si>
    <t>Extension du réseau électrique sur 03 Km pour utilisation domestique du Carrefour Fô Taghe à Ngawa en passant par l’ancien pont</t>
  </si>
  <si>
    <t>Construction d’un d’1 puits busé avec château à KOUEKONG niveau du marché</t>
  </si>
  <si>
    <t>Construction d’un bâtiment de deux salles de classe à l’école maternelle de Kouékong</t>
  </si>
  <si>
    <t>Equipement d’un bâtiment de deux salles de classe à l’école maternelle de Kouékong</t>
  </si>
  <si>
    <t>Construction d’un d’1 puits busé avec château à KOUEKONG niveau de l’EP</t>
  </si>
  <si>
    <t>Mise en place d’un point de distribution des intrants agropastora ux améliorés</t>
  </si>
  <si>
    <t>Réhabilitation du forage1 non fonctionnel de Njinga I après le carrefour CETIC</t>
  </si>
  <si>
    <t>Réhabilitation du forage non fonctionnel de Njinga I au niveau de l’Eglise Evangélique</t>
  </si>
  <si>
    <t>Création d’un centre secondaire d’Etat Civil à Njinga I</t>
  </si>
  <si>
    <t>Repofilage de l’axe principal famleng-Ndiangdam I sur 2 km</t>
  </si>
  <si>
    <t>Reprofilage de l’axe pont Tchienchueppont demsiem sur 3 K m</t>
  </si>
  <si>
    <t>Reprofilage de l’axe carrefour Tawembe Deffo Tietie - route allant à Tayim (1 km)</t>
  </si>
  <si>
    <t>Construction d’ 1 puits busé avec château à Tsémewéen</t>
  </si>
  <si>
    <t>Construction et équipement d’un poste agricole à Batoukop au quartier koufouet</t>
  </si>
  <si>
    <t>Extension du le réseau électrique sur une distance de de 500 m.Axe Tintchuet à Deffo Nje sur</t>
  </si>
  <si>
    <t>Extension du le réseau électrique sur 500m axe - carrefour Tawembe Deffo au domicile Deffo Paul</t>
  </si>
  <si>
    <t>Mise en place d’un point de distribution des intrants agropastora ux éléveurs</t>
  </si>
  <si>
    <t>Extension du réseau électrique sur une distance de 1 km sur l’axe :Tintchuet au pont à la limite de Ndemsiem sur 1 Km</t>
  </si>
  <si>
    <t>Difficulté à mener les activités génératrice de revenus.</t>
  </si>
  <si>
    <t>Création d’une école maternelle et primaire publique dans le village</t>
  </si>
  <si>
    <t>Création et équipement d’un comité de vigilance (torches à longue portée, clairons, matraque, paires de menottes, etc) dans le village</t>
  </si>
  <si>
    <t>Construction et équipement d’un bâtiment de deux salles de classes à l’Ecole maternelle publique de Kouopfo</t>
  </si>
  <si>
    <t>Construction d’un hangar au marché de Kam</t>
  </si>
  <si>
    <t>Réhabilitation de 03 points d’eau dans le village à : Kaptue(Simfo), Mela (carrefour TAMO Claude,Ecole Publique)</t>
  </si>
  <si>
    <t>Création d’un Centre de santé intégré à NDiengso I</t>
  </si>
  <si>
    <t>Création d’une section anglophone à l’EP de Badiengso à NDIENGSO I</t>
  </si>
  <si>
    <t>Construction de 4 nouvelles salles de classe à l’EP de Badiengso</t>
  </si>
  <si>
    <t>Construction de 2 blocs administratifs bureaux à l’EP de Badiengso I</t>
  </si>
  <si>
    <t>Construction d’un marché à Ndiengso I</t>
  </si>
  <si>
    <t>Création d’un site touristique à Ndiengso I</t>
  </si>
  <si>
    <t>Construction de 3 dos d’âne sur le long trait de la Nationale Bafoussam Foumban sur 01 Km de l’usine SOCAO jusqu’à Batoula</t>
  </si>
  <si>
    <t>Extension du réseau CDE sur toutes les rues du village</t>
  </si>
  <si>
    <t>Création de 5 points d’eau : -au CSI, -à l’entrée de Sob Guabi, - à l’entrée lycée, -vers chez Sob Foko, -vers chez Agip)</t>
  </si>
  <si>
    <t>Mise en place d’un point de distribution des intrants agricoles et semences améliorées en vue de l’amélioration des la productivité</t>
  </si>
  <si>
    <t>Construction d’ 01 ouvrage de franchissement « Pont »derrièr e l’EP de Tomdjo</t>
  </si>
  <si>
    <t>Construction et d’équipement de 06 salles de classe à l’EP de Tomdjo</t>
  </si>
  <si>
    <t>Réfection des dos d’âne du Carrefour Tougniet</t>
  </si>
  <si>
    <t>Ouverture de l’axe Evêché –domicile du chef de quartier sur 800m</t>
  </si>
  <si>
    <t>Extension du réseau CDE sur l’axe -Rue Tawembesou p au stade, sur 1 km</t>
  </si>
  <si>
    <t>Extension du réseau CDE sur l’axe du 1er Carrefour Evéché au stade sur 1km</t>
  </si>
  <si>
    <t>Construction du pont qui relie Banengo I et II sur le lieu dit « série de village</t>
  </si>
  <si>
    <t>Construction du pont qui relie l’ hôtel Meyou et Cersom sur l’axe Hôtel meyou- Cerson</t>
  </si>
  <si>
    <t>Renforcement de la capacité du transformateu r du bloc 2 qui alimente le village pour avoir une tension suffisante</t>
  </si>
  <si>
    <t>Construction du pont N° 1 sur le cours d’eau séparant Banengo ville A et Banengo ville c.</t>
  </si>
  <si>
    <t>Construction du pont N° 2 sur le cours d’eau séparant Banengo ville A et Banengo ville c</t>
  </si>
  <si>
    <t>Construction du pont N° 3 sur le cours d’eau séparant Banengo ville A et Banengo ville c</t>
  </si>
  <si>
    <t>Bamendzi I (10 blocs)</t>
  </si>
  <si>
    <t>Construction du Dalot derrière le centre de santé après hôtel caféier à Bamendzi</t>
  </si>
  <si>
    <t>Ouverture de la route qui relie Bamendzi II et Bamendzi III sur 01 Km. En passant par l’axe, Ta TocheWakam à Takouendzum</t>
  </si>
  <si>
    <t>Ouverture de la route qui relie Bamendzi II - Bamendzi III en passant par WAMBO Samuel sur 1 km</t>
  </si>
  <si>
    <t>Famla 1 (03 Blocs)</t>
  </si>
  <si>
    <t>Aménagement de l’axe avenue kwoayeb- chambre de commerce (1,2 km)</t>
  </si>
  <si>
    <t>Famla 2(04 blocs</t>
  </si>
  <si>
    <t>Construction du pont reliant Famla 2 à Bamendzi ville B</t>
  </si>
  <si>
    <t>Aménagemen t de l’axe Ets Fokou au stade en passant par l’Ep (1,5 km)</t>
  </si>
  <si>
    <t>construction du pont qui relie le bloc 1 au bloc 4 de Famla 1</t>
  </si>
  <si>
    <t>Construction de pont 01 cassé dans le bloc 4</t>
  </si>
  <si>
    <t>construction du pont 02cassé dans le bloc 4</t>
  </si>
  <si>
    <t>Djeleng 5 (04 blocs)</t>
  </si>
  <si>
    <t>Éclairage public sur l’axe Famla III, EP Famla III, III,</t>
  </si>
  <si>
    <t>Construction de l’ouvrage de franchissement sur le pont callao</t>
  </si>
  <si>
    <t>Aménagemen t de la route Axe Ets Fokou-pont Callao (800 m)</t>
  </si>
  <si>
    <t>Aménagemen t de la route Ets Fokou-stade (1 km)</t>
  </si>
  <si>
    <t>Éclairage public de l’axe carrefour :- Calao, Chefferie Famla III</t>
  </si>
  <si>
    <t>Aménagement de la route de l’école publique de Famla au pont de CALLAO (1,5 km)</t>
  </si>
  <si>
    <t>Éclairage public sur l’axe , EP Famla III, Face ETS FOKOU Garage</t>
  </si>
  <si>
    <t>Bamendzi II (09 blocs)</t>
  </si>
  <si>
    <t>ouverture de la route sur l’axe qui relie Bamendzi II à Bamendzi III</t>
  </si>
  <si>
    <t>Construction de la clôture à l’Ecole maternelle de Bamendzi II</t>
  </si>
  <si>
    <t>Construction d’un bloc de 05 latrine à l’EP de Bamendzi II</t>
  </si>
  <si>
    <t>Construction d’un forage au lieu dit « Camp Tapi »</t>
  </si>
  <si>
    <t>construction du pont Kaloa qui relie Bamendzi ville A à ville B sur l’axe ville A à ville</t>
  </si>
  <si>
    <t>construction et équipement de l’Ecole maternelle existante de Ndiangdam (site connu</t>
  </si>
  <si>
    <t>Ndiandam II (05 blocs )</t>
  </si>
  <si>
    <t>Renforcement de la tension du transformateu r qui alimente le village</t>
  </si>
  <si>
    <t>) ouverture de l’axe Tagne vers Bamendzi (bloc 3)</t>
  </si>
  <si>
    <t>Difficulté d’accès aux infrastructures de l’enseignement /éducation de base</t>
  </si>
  <si>
    <t>Construction d’un ouvrage de franchisseme nt reliant la route derrière Gabon Bar  à la route traversant Madelon vers antenne Télévisée</t>
  </si>
  <si>
    <t>Aménagemen t de la route quittant PMUC -Brasserie du Cameroun en passant en bas de la mission Protestante de Banengo sur 2 km</t>
  </si>
  <si>
    <t>Aménagement de la route partant du derrière PMUC vers l’ EP de Banengo sur 01 km</t>
  </si>
  <si>
    <t>Construction d’un deuxième ouvrage de franchisseme nt reliant la route partant du PMUC à la route de Madelon vers Antenne Télévisée</t>
  </si>
  <si>
    <t>Désenclavem ent des voies d’accès aux carrières</t>
  </si>
  <si>
    <t>Construction d’une borne fontaine àBamendzi 1 Bis au niveau du Carrefour double lot vers l’Eglise ST Paul,</t>
  </si>
  <si>
    <t>Construction d’une borne fontaine à Bamendzi 1 Bis au niveau du Carrefour WEMBE Christophe</t>
  </si>
  <si>
    <t>Construction d’un batiment de 02 salles de classe à l'Ecole Publique de Lemgou dans Houkaha</t>
  </si>
  <si>
    <t>Construction de d’un bloc administratif à l'Ecole Publique de Lemgou dans Houkaha</t>
  </si>
  <si>
    <t>Extension du réseau électrique a partir de l’EP de Lemgou vers l’interieur</t>
  </si>
  <si>
    <t>Total cummulé</t>
  </si>
  <si>
    <r>
      <t>5.1</t>
    </r>
    <r>
      <rPr>
        <b/>
        <sz val="7"/>
        <color theme="1"/>
        <rFont val="Times New Roman"/>
        <family val="1"/>
      </rPr>
      <t xml:space="preserve">  </t>
    </r>
    <r>
      <rPr>
        <b/>
        <sz val="11"/>
        <color theme="1"/>
        <rFont val="Arial"/>
        <family val="2"/>
      </rPr>
      <t>CADRE LOGIQUE PAR SECTEUR</t>
    </r>
  </si>
  <si>
    <r>
      <t>5.1.1</t>
    </r>
    <r>
      <rPr>
        <b/>
        <sz val="7"/>
        <color theme="1"/>
        <rFont val="Times New Roman"/>
        <family val="1"/>
      </rPr>
      <t xml:space="preserve">  </t>
    </r>
    <r>
      <rPr>
        <b/>
        <sz val="11"/>
        <color theme="1"/>
        <rFont val="Arial"/>
        <family val="2"/>
      </rPr>
      <t>CADRE LOGIQUE DE L’INSTITUTION COMMUNALE Tableau 9: Cadre logique de l’institution communale</t>
    </r>
  </si>
  <si>
    <t>Source de vérification</t>
  </si>
  <si>
    <t>Rendre plus opérationnel l’institution communale</t>
  </si>
  <si>
    <t>-PV de réception</t>
  </si>
  <si>
    <t>Bâtiment construit</t>
  </si>
  <si>
    <t>Visite du bâtiment</t>
  </si>
  <si>
    <t>-Disponibilité d’une source de financement</t>
  </si>
  <si>
    <t>De visu</t>
  </si>
  <si>
    <t>Police communale opérationnelle</t>
  </si>
  <si>
    <t>Volonté de l’Exécutif Communal</t>
  </si>
  <si>
    <t>Archives de la commune</t>
  </si>
  <si>
    <t>02 engins lourds et 02 camions opérationnels</t>
  </si>
  <si>
    <t>In situ</t>
  </si>
  <si>
    <t>Plates formes fonctionnelles</t>
  </si>
  <si>
    <t>Texte de base</t>
  </si>
  <si>
    <t>Idem</t>
  </si>
  <si>
    <t>Le niveau de réalisation des recettes de la commune s’est augmenté de 20%</t>
  </si>
  <si>
    <t>Compte administratif approuvé</t>
  </si>
  <si>
    <t>Rapport d’activités et manuel de procédure</t>
  </si>
  <si>
    <t>Tâches/Moyens</t>
  </si>
  <si>
    <t>Conditions</t>
  </si>
  <si>
    <t>préalables de réalisation</t>
  </si>
  <si>
    <t>Réalisation du plan de construction des infrastructures</t>
  </si>
  <si>
    <t>PM (voir coût de faisabilité)</t>
  </si>
  <si>
    <t>Existence de terrain</t>
  </si>
  <si>
    <t>Rechercher les partenariats et solliciter les contributions des élites</t>
  </si>
  <si>
    <t>Disponibilité des financements</t>
  </si>
  <si>
    <t>DAO et PPM</t>
  </si>
  <si>
    <t>Etudes de faisabilités technique et environnementale</t>
  </si>
  <si>
    <t>Exécution des travaux de construction (Matériaux,  main d’œuvre)</t>
  </si>
  <si>
    <t>Suivis/contrôle des travaux</t>
  </si>
  <si>
    <t>S/s-total R1O1</t>
  </si>
  <si>
    <t>Elaborer DAO et PPM</t>
  </si>
  <si>
    <t>Achat et réception</t>
  </si>
  <si>
    <t>Recruter, former et équiper le personnel de cette police</t>
  </si>
  <si>
    <t>Volonté de l’Exécutif Communal et disponibilité financière</t>
  </si>
  <si>
    <t>Recruter une personne ressource</t>
  </si>
  <si>
    <t>Tenir un atelier pour la description des tâches aux postes  et la restructuration des services</t>
  </si>
  <si>
    <t>Restructuration des services</t>
  </si>
  <si>
    <t>Etablir une décision communale de nomination</t>
  </si>
  <si>
    <t>Préparer et inviter toutes les parties prenantes</t>
  </si>
  <si>
    <t>Implication des tous les acteurs</t>
  </si>
  <si>
    <t>Disponibilités</t>
  </si>
  <si>
    <t>financières</t>
  </si>
  <si>
    <t>S/s-total R1O2</t>
  </si>
  <si>
    <t>Recruter des personnes ressources pour les formations</t>
  </si>
  <si>
    <t>Existence formelle du cadre de concertation</t>
  </si>
  <si>
    <t>Préparer et tenir quatre ateliers</t>
  </si>
  <si>
    <t>Disponibilité financières</t>
  </si>
  <si>
    <t>Recruter les personnes ressources</t>
  </si>
  <si>
    <t>Doter la commune d’un fichier de contribuable fiable</t>
  </si>
  <si>
    <t>Elaborer un manuel de procédure de gestion des ressources</t>
  </si>
  <si>
    <t>Volonté politique de la municipalité</t>
  </si>
  <si>
    <t>Recruter des personnes ressources et organiser des ateliers de réflexion</t>
  </si>
  <si>
    <t>Elaborer une politique de gratification des agents de recouvrement des recettes communales</t>
  </si>
  <si>
    <t>Total DIC</t>
  </si>
  <si>
    <r>
      <t>1- Construire et rendre opérationnel  les Postes agricoles de Diembou, Ndiengso et Njingah Ainsi que la  Délégation d’Arrondissement d’Agriculture de Bafoussam 1</t>
    </r>
    <r>
      <rPr>
        <sz val="6.5"/>
        <color theme="1"/>
        <rFont val="Arial"/>
        <family val="2"/>
      </rPr>
      <t>er</t>
    </r>
  </si>
  <si>
    <t>Postes agricoles de Diembou, Ndiengso Njingah et la Délégation d’Arrondissement d’Agriculture construits et opérationnels</t>
  </si>
  <si>
    <t>2- Organiser des ateliers de  renforcement des capacités des encadreurs agricoles et de formation des producteurs sur des thèmes prioritaires.</t>
  </si>
  <si>
    <t>Les services d’encadrement des producteurs sont redynamisés et font effectivement leur travail sur le terrain</t>
  </si>
  <si>
    <r>
      <t>-</t>
    </r>
    <r>
      <rPr>
        <sz val="11"/>
        <color theme="1"/>
        <rFont val="Arial"/>
        <family val="2"/>
      </rPr>
      <t>Rapport des ateliers de formation,</t>
    </r>
  </si>
  <si>
    <t>-Feuille de présence aux ateliers de formation</t>
  </si>
  <si>
    <t>-Obtenir des financements nécessaires</t>
  </si>
  <si>
    <t>3 – Mettre sur pied une unité communale de distribution des intrants agricoles de qualité</t>
  </si>
  <si>
    <t>Une unité de distribution des intrants agricoles opérationnelle dans la Commune</t>
  </si>
  <si>
    <t>Disponibilité financière</t>
  </si>
  <si>
    <t>R.1 .O1 : 03 nouveaux postes agricoles sont construits et opérationnels</t>
  </si>
  <si>
    <t>03 bâtiments sont construits et abritent effectivement  les postes agricoles</t>
  </si>
  <si>
    <t>-Disponibilité financière</t>
  </si>
  <si>
    <t>R2.O1 : Un nouveau bâtiment de la Délégation d’Arrondissement de l’Agriculture est  construit et opérationnel</t>
  </si>
  <si>
    <t>01 bâtiment est construit et abrite effectivement la Délégation  d’Arrondissement</t>
  </si>
  <si>
    <t>R.1 O.2  Les  encadreurs  agricoles bénéficient de 10 ateliers de renforcement de capacité.</t>
  </si>
  <si>
    <t>10 ateliers de formation des cadres du MINADER de la Commune organisés et les cadres sont plus performants</t>
  </si>
  <si>
    <t>R.2.O2 Les Agriculteurs bénéficient 320 ateliers de formation sur les techniques culturales organisés  à l’attention des agriculteurs de la commune.</t>
  </si>
  <si>
    <t>320 ateliers organisés et les agriculteurs de la commune mieux outillés sur les techniques agricoles prioritaires.</t>
  </si>
  <si>
    <t>R3.O2 120 ateliers de formation sur l’utilisation des engrais chimiques et des pesticides sont organisés à l’intention des agriculteurs.</t>
  </si>
  <si>
    <t>120 ateliers organisés et la population mieux  imprégnée sur l’utilisation des engrais chimiques et des produits phytosanitaires</t>
  </si>
  <si>
    <t>R4.O2. une campagne communale de traitement  phytosanitaire  se  fait régulièrement chaque année</t>
  </si>
  <si>
    <t>Les champs ne sont plus attaqués par les maladies</t>
  </si>
  <si>
    <t>Passer  par  les coopératives agricoles</t>
  </si>
  <si>
    <t>R1 O3 : Les intrants agricoles de qualité sont disponibles dans la Commune</t>
  </si>
  <si>
    <t>Productivité agricole accrue</t>
  </si>
  <si>
    <t>-Physionomie des marchés</t>
  </si>
  <si>
    <t>A1.R1.O1- Construire et équiper une Délégation d’Arrondissement et trois postes agricoles : Diembou, Ndiengso et Njingah A</t>
  </si>
  <si>
    <t>Disponibilité des sites sécurisés</t>
  </si>
  <si>
    <t>Sous total 1</t>
  </si>
  <si>
    <t>Sous total 2</t>
  </si>
  <si>
    <t>Disponibilité des</t>
  </si>
  <si>
    <t>Sous total 3</t>
  </si>
  <si>
    <t>A1.R3.O2- Organiser et tenir 120 ateliers de formations des populations sur les dangers des intrants chimiques en agriculture</t>
  </si>
  <si>
    <t>Disponibilité des ressources financières</t>
  </si>
  <si>
    <t>Sous total 4</t>
  </si>
  <si>
    <t>A1.R4.O2.Faire 10 campagnes de traitement phytosanitaire des plantations</t>
  </si>
  <si>
    <t>Recruter des personnes ressources et réaliser les traitements</t>
  </si>
  <si>
    <t>A2.R4.O2. Constituer un dossier de demande de subvention de l’agriculture</t>
  </si>
  <si>
    <t>Adresser   des demandes de subvention à qui de droit</t>
  </si>
  <si>
    <t>Négocier les achats et assurer la distribution</t>
  </si>
  <si>
    <t>A2R1O3 : construire un magasin de stockage des produits agricoles à Kouékong</t>
  </si>
  <si>
    <t>Sous total 5</t>
  </si>
  <si>
    <t>Total MINADER</t>
  </si>
  <si>
    <t>Faciliter l’obtention d’une bonne productivité dans les fermes des éleveurs ainsi que leur accès à une infrastructure moderne  d’abattage de bétail dans la commune</t>
  </si>
  <si>
    <t>1-Créer, construire et rendre fonctionnels 02 centres zootechniques et de contrôle sanitaire et vétérinaire (CZCSV) à Kam et Ndiengso</t>
  </si>
  <si>
    <t>02 centres zootechniques et de contrôle sanitaire et vétérinaire créés et fonctionnels.</t>
  </si>
  <si>
    <t>Disponibilités financières et sites sécurisés</t>
  </si>
  <si>
    <t>2-Organiser 126 ateliers de formation  des éleveurs de la commune sur les techniques d’élevage.</t>
  </si>
  <si>
    <t>126 ateliers de formations des éleveurs organisés</t>
  </si>
  <si>
    <t>Disponibilités financières</t>
  </si>
  <si>
    <r>
      <t>-</t>
    </r>
    <r>
      <rPr>
        <sz val="11"/>
        <color theme="1"/>
        <rFont val="Arial"/>
        <family val="2"/>
      </rPr>
      <t>PV de réception travaux.</t>
    </r>
  </si>
  <si>
    <t>R1O1: 02 centres zootechniques et de contrôle sanitaire et vétérinaire créés et fonctionnels dans la commune.</t>
  </si>
  <si>
    <t>02 centres zootechniques et de contrôle sanitaire et vétérinaire opérationnels</t>
  </si>
  <si>
    <t>R1O2 : 126 ateliers de formation des éleveurs organisés dans la commune</t>
  </si>
  <si>
    <t>Les éleveurs des 41 villages formés sur les techniques d’élevages</t>
  </si>
  <si>
    <t>A1R1O1 Demander la création de 02 centres zootechniques et de contrôle sanitaire et vétérinaire dans la commune.</t>
  </si>
  <si>
    <t>Rédiger et déposer à qui de droit une demande de création de centres zootechniques</t>
  </si>
  <si>
    <t>Autorisation du ministre sur demande de la commune</t>
  </si>
  <si>
    <t>A2R1O1- Construire et équiper 02 centres zootechniques et de contrôle sanitaire et vétérinaire dans la commune</t>
  </si>
  <si>
    <t>Disponibilité d’une source de financement</t>
  </si>
  <si>
    <t>A1R1O2- Tenir 126 ateliers de formations des éleveurs sur les techniques pastorales</t>
  </si>
  <si>
    <t>S/s-total R1O3</t>
  </si>
  <si>
    <t>Total MINEPIA</t>
  </si>
  <si>
    <t>Faciliter l’accès aux soins de santé de qualité  et à moindre coût dans la commune</t>
  </si>
  <si>
    <t>1-Créer et rendre fonctionnels 07 CSI dans la commune dont les plus urgents sont les CSI de. Houkaha et Bamendzi.</t>
  </si>
  <si>
    <t>02 CSI opérationnels à Houkaha et Bamendzi .</t>
  </si>
  <si>
    <t>Disponibilité financière et des sites</t>
  </si>
  <si>
    <t>3-Doter 03 CSI des infrastructures de sécurité</t>
  </si>
  <si>
    <t>Sécurité améliorée dans les CSI de Badiembou,  Tomdjo et Batoukop</t>
  </si>
  <si>
    <t>Visite sur les sites</t>
  </si>
  <si>
    <t>- PV de réception des travaux</t>
  </si>
  <si>
    <t>R1O1 : 02 CSI créés et fonctionnels. à Houkaha et Bamendzi</t>
  </si>
  <si>
    <t>02 CSI opérationnels</t>
  </si>
  <si>
    <t>R2O2 : les pharmacies des CSI de Badiembou et de Batoukop sont mieux fournies</t>
  </si>
  <si>
    <t>Accessibilité aux médicaments améliorée dans les CSI</t>
  </si>
  <si>
    <t>Liste de tous les médicaments disponibles</t>
  </si>
  <si>
    <t>idem</t>
  </si>
  <si>
    <t>R1O4-  20 blocs de latrines publiques sont construits dans l’espace urbain communal</t>
  </si>
  <si>
    <t>20 blocs de latrines publiques fonctionnelles</t>
  </si>
  <si>
    <t>Site d’implantation</t>
  </si>
  <si>
    <t>A1R1O1- Demander la création de 7 centres de santé intégrés dans la commune plus urgemment  les CSI de. Houkaha et Bamendzi.</t>
  </si>
  <si>
    <t>Rédiger et déposer à qui de droit une demande de création de centres de santé</t>
  </si>
  <si>
    <t>Volonté des populations</t>
  </si>
  <si>
    <t>Livraison des commandes</t>
  </si>
  <si>
    <t>Suivis/contrôle des livraisons</t>
  </si>
  <si>
    <t>sites sécurisés</t>
  </si>
  <si>
    <t>S/s-total R1O 3</t>
  </si>
  <si>
    <t>Total MINSANTE</t>
  </si>
  <si>
    <t>Faciliter les déplacements des personnes et des biens dans la commune</t>
  </si>
  <si>
    <t>1- Améliorer l’état des routes du territoire communal</t>
  </si>
  <si>
    <t>2-Désenclaver convenablement les communautés de la Commune</t>
  </si>
  <si>
    <t>Etudes techniques</t>
  </si>
  <si>
    <t>67 km de route sont praticables</t>
  </si>
  <si>
    <t>R3O1- 40 ouvrages de franchissement en matériaux définitifs dans la commune.</t>
  </si>
  <si>
    <t>40 ouvrages de franchissement praticables</t>
  </si>
  <si>
    <t>-plan de situation, PV de réception des travaux</t>
  </si>
  <si>
    <t>R4O1- 03 barrières de pluies construites et opérationnelles   dans la commune</t>
  </si>
  <si>
    <t>03 barrières de pluies fonctionnelles</t>
  </si>
  <si>
    <t>-liste des barrières de pluies, PV de réception des travaux</t>
  </si>
  <si>
    <t>R2O2- 43 ouvrages de franchissement construits dans la commune.</t>
  </si>
  <si>
    <t>43 ouvrages de franchissement opérationnels</t>
  </si>
  <si>
    <t>-Plan de situation, PV de réception des travaux</t>
  </si>
  <si>
    <t>R1O3- 03 dos d’âne sont construits sur le long trait de Njingah 2</t>
  </si>
  <si>
    <t>3 dos d’âne sont présents sur le long trait de Njingah 2</t>
  </si>
  <si>
    <t>Réfection des dos d’âne effectif</t>
  </si>
  <si>
    <t>R3O3- 10 panneaux de signalisation sont installé sur l’axe Bafoussam-Foumbot</t>
  </si>
  <si>
    <t>Panneaux effectivement installés</t>
  </si>
  <si>
    <t>Disponibilité de financement</t>
  </si>
  <si>
    <t>Exécution des travaux d’enduit (Matériaux, main d’œuvre)</t>
  </si>
  <si>
    <t>(Matériaux, main d’œuvre)</t>
  </si>
  <si>
    <t>A4R1O1- Effectuer les travaux de Construction de  03 barrières de pluies dans la commune</t>
  </si>
  <si>
    <t>Négociation du marché</t>
  </si>
  <si>
    <t>Exécution des travaux</t>
  </si>
  <si>
    <t>A1R2O2- Ouvrir sur le traçage 98 km dans la commune</t>
  </si>
  <si>
    <t>Etudes de faisabilités technique</t>
  </si>
  <si>
    <t>Exécution des travaux (Matériaux, main d’œuvre)</t>
  </si>
  <si>
    <t>A1R2O3- Réfectionner les 2 dos d’âne de Tougniet</t>
  </si>
  <si>
    <t>A2R2O3- Installer 10 panneaux de circulation sur l’axe Bafoussam-Foumbot</t>
  </si>
  <si>
    <t>A3R2O3- Appuyer à la création des comités de route</t>
  </si>
  <si>
    <t>Recruter et former les membres</t>
  </si>
  <si>
    <t>Total MINTP</t>
  </si>
  <si>
    <t>Faciliter l’accès  des populations à une éducation de base de qualité</t>
  </si>
  <si>
    <t>O1-Eriger toutes les écoles existantes de la Commune et celles à créer en écoles bilingues opérationnelles</t>
  </si>
  <si>
    <t>O2-Améliorer la qualité et la capacité des infrastructures des écoles de la Commune</t>
  </si>
  <si>
    <t>Disponibilité fréquente de site</t>
  </si>
  <si>
    <t>O3- Accroître l’effectif du personnel enseignant tout en améliorant les conditions de travail</t>
  </si>
  <si>
    <t>R2O1- une section anglophone est créée dans les autres écoles primaires</t>
  </si>
  <si>
    <t>04 écoles primaires bilingues opérationnelles</t>
  </si>
  <si>
    <r>
      <t xml:space="preserve">- </t>
    </r>
    <r>
      <rPr>
        <sz val="11"/>
        <color theme="1"/>
        <rFont val="Arial"/>
        <family val="2"/>
      </rPr>
      <t>Arrêtés</t>
    </r>
  </si>
  <si>
    <t>Disponibilité des finances</t>
  </si>
  <si>
    <t>R3O1-: 03 nouvelles écoles maternelles bilingues créées et construites  dans la commune</t>
  </si>
  <si>
    <t>03  nouvelles écoles maternelles bilingues   opérationnelles</t>
  </si>
  <si>
    <t>Disponibilité des finances et des sites sécurisés</t>
  </si>
  <si>
    <t>R3O2 : 240 nouveaux tables-bancs fabriquées et disponibles dans certaines écoles primaires de la commune .</t>
  </si>
  <si>
    <t>240 tables-bancs fabriquées et utilisées dans les écoles</t>
  </si>
  <si>
    <t>R4O2 : 90 tables et 350 chaises fabriquées et disponibles dans des écoles maternelles de la commune.</t>
  </si>
  <si>
    <t>90 tables et  350 chaises qui sont disponibles</t>
  </si>
  <si>
    <r>
      <t xml:space="preserve">- </t>
    </r>
    <r>
      <rPr>
        <sz val="11"/>
        <color theme="1"/>
        <rFont val="Arial"/>
        <family val="2"/>
      </rPr>
      <t>PV de réception</t>
    </r>
  </si>
  <si>
    <t>R6O2 : La toiture est réfectionnée dans 04 écoles primaires.</t>
  </si>
  <si>
    <t>La qualité de la toiture des salles de classe est améliorée</t>
  </si>
  <si>
    <t>R7O2 : Une aire de jeu est disponible dans 02 écoles maternelles.</t>
  </si>
  <si>
    <t>02 écoles maternelles sont dotées d’aire de jeu</t>
  </si>
  <si>
    <t>R9O2 : 06 écoles primaires sont dotés de 04 blocs latrines chacune.</t>
  </si>
  <si>
    <t>Des blocs latrines qui fonctionnent effectivement dans 06 écoles primaires</t>
  </si>
  <si>
    <t>R11O2 : Une clôture construite dans 09 écoles primaires et écoles maternelles de la commune.</t>
  </si>
  <si>
    <t>09 écoles primaires et écoles maternelles dotées d’une clôture chacune.</t>
  </si>
  <si>
    <t>R2O3- 40 tables et 40 chaises sont fabriquées pour les enseignant dans 05 écoles primaires.</t>
  </si>
  <si>
    <t>40 tables et 40 chaises pour enseignant</t>
  </si>
  <si>
    <r>
      <t xml:space="preserve">- </t>
    </r>
    <r>
      <rPr>
        <sz val="11"/>
        <color theme="1"/>
        <rFont val="Arial"/>
        <family val="2"/>
      </rPr>
      <t>PV de réception Listes des écoles primaires bénéficiaires</t>
    </r>
  </si>
  <si>
    <t>Exécution des travaux  (Matériaux, main d’œuvre)</t>
  </si>
  <si>
    <t>Suivis/contrôle des travaux/réception</t>
  </si>
  <si>
    <t>Sous-total 1</t>
  </si>
  <si>
    <t>Sous-total 2</t>
  </si>
  <si>
    <t>A1R1O2 - Construire 81 salles de classe dans certaines écoles de la commune :</t>
  </si>
  <si>
    <t>Sous-total 3</t>
  </si>
  <si>
    <t>Sous-total 4</t>
  </si>
  <si>
    <t>A1R3O2- Commander et fabriquer 240 tables- bancs pour des écoles primaires  de la commune :</t>
  </si>
  <si>
    <t>EP de Njingha 1, EP de Famcep : écoles clandestines, EP de Tcho, EP de Kouopfo (40 tables bancs), EP de Badiengso (50 tables bancs), EP de Famla</t>
  </si>
  <si>
    <t>Livraison/Suivis/contrôle</t>
  </si>
  <si>
    <t>Sous-total 5</t>
  </si>
  <si>
    <r>
      <t xml:space="preserve">A 1R4O2 Commander et fabriquer 90 tables et 350 chaises pour certaines écoles maternelles de la commune </t>
    </r>
    <r>
      <rPr>
        <b/>
        <sz val="11"/>
        <color theme="1"/>
        <rFont val="Arial"/>
        <family val="2"/>
      </rPr>
      <t>:</t>
    </r>
  </si>
  <si>
    <t>Ecole maternelle de Njingha I (en 100 chaises et 25 tables), Ecole maternelle de Banefo (en 100 chaises et 25 tables), Ecole maternelle de Tcho (en 100 chaises et 25 tables),Ecole maternelle de Famla (en 50 chaises et 15 tables),Lemgouo, kouoptso, Mvoutsa, Bamendzi, Takogom</t>
  </si>
  <si>
    <t>Sous-total 6</t>
  </si>
  <si>
    <t>Sous-total 7</t>
  </si>
  <si>
    <r>
      <t>A1R6O2- Réfectionner la toiture de 4 écoles primaires</t>
    </r>
    <r>
      <rPr>
        <b/>
        <sz val="11"/>
        <color theme="1"/>
        <rFont val="Arial"/>
        <family val="2"/>
      </rPr>
      <t>:</t>
    </r>
  </si>
  <si>
    <t>Sous-total 8</t>
  </si>
  <si>
    <t>Sous-total 9</t>
  </si>
  <si>
    <t>Sous-total 10</t>
  </si>
  <si>
    <r>
      <t xml:space="preserve">- </t>
    </r>
    <r>
      <rPr>
        <sz val="11"/>
        <color theme="1"/>
        <rFont val="Arial"/>
        <family val="2"/>
      </rPr>
      <t>A1R9O2-Construire les latrines améliorées</t>
    </r>
  </si>
  <si>
    <r>
      <t xml:space="preserve">dans 06 écoles primaires de la commune </t>
    </r>
    <r>
      <rPr>
        <b/>
        <sz val="11"/>
        <color theme="1"/>
        <rFont val="Arial"/>
        <family val="2"/>
      </rPr>
      <t xml:space="preserve">: </t>
    </r>
    <r>
      <rPr>
        <sz val="11"/>
        <color theme="1"/>
        <rFont val="Arial"/>
        <family val="2"/>
      </rPr>
      <t>EP de Ndemsiem, EP de Tomdjo, EP de Houkaha, EP et M de Djemoun 1, EP Bilingue d’application de Djeleng , EP de Banengo.</t>
    </r>
  </si>
  <si>
    <t>9 00 000</t>
  </si>
  <si>
    <t>Exécution des travaux  (Matériaux,</t>
  </si>
  <si>
    <t>main d’œuvre)</t>
  </si>
  <si>
    <t>Sous-total 11</t>
  </si>
  <si>
    <t>A1R10O2-Construire et installer 15 bacs à ordures dans 05 écoles primaires de la</t>
  </si>
  <si>
    <t>Sous-total 12</t>
  </si>
  <si>
    <t>Sous-total 13</t>
  </si>
  <si>
    <t>Adresser une demande à qui de droit</t>
  </si>
  <si>
    <t>Penser aux salaires des maîtres communaux</t>
  </si>
  <si>
    <t>Livraison</t>
  </si>
  <si>
    <t>Sous-total 14</t>
  </si>
  <si>
    <r>
      <t xml:space="preserve">A16- Construire </t>
    </r>
    <r>
      <rPr>
        <b/>
        <sz val="11"/>
        <color theme="1"/>
        <rFont val="Arial"/>
        <family val="2"/>
      </rPr>
      <t>un logement de 10 chambres</t>
    </r>
  </si>
  <si>
    <t>pour les enseignants des écoles primaires et maternelles de NDEMSIEM,  Tcho, Tomdjo,  et Batoukop</t>
  </si>
  <si>
    <t>Disponibilité des sites</t>
  </si>
  <si>
    <t>Sous-total 15</t>
  </si>
  <si>
    <t>Total MINEDUB</t>
  </si>
  <si>
    <t>Améliorer la valorisation du potentiel culturel  présent dans la commune</t>
  </si>
  <si>
    <t>2- Construire et équiper une bibliothèque municipale.</t>
  </si>
  <si>
    <t>Une bibliothèque municipale est fonctionnelle dans la commune</t>
  </si>
  <si>
    <t>3-Capitaliser le potentiel culturel de la commune</t>
  </si>
  <si>
    <t>Site d’archivage des données</t>
  </si>
  <si>
    <r>
      <t>R1O1 : 07 foyers communautaires sont construits et fonctionnent effectivement dans la commune de Bafoussam 1</t>
    </r>
    <r>
      <rPr>
        <sz val="6.5"/>
        <color theme="1"/>
        <rFont val="Arial"/>
        <family val="2"/>
      </rPr>
      <t>er</t>
    </r>
  </si>
  <si>
    <t>07 foyers communautaires qui fonctionnent effectivement</t>
  </si>
  <si>
    <t>Site de construction des foyers communautaires</t>
  </si>
  <si>
    <t>Une bibliothèque municipale fonctionnelle</t>
  </si>
  <si>
    <t>- PV de réception des travaux.</t>
  </si>
  <si>
    <t>R1O3 : le musée de la chefferie est construit</t>
  </si>
  <si>
    <t>Les objets de la chefferie sont mieux conservés</t>
  </si>
  <si>
    <t>PV de réception   des travaux du musée royal</t>
  </si>
  <si>
    <t>R2O3 : L’éclat du monument Wanko est restauré</t>
  </si>
  <si>
    <t>Etat du monument</t>
  </si>
  <si>
    <t>Descente sur le terrain</t>
  </si>
  <si>
    <t>R3O3 : Les acteurs culturels organisés  et tous impliqués pour rehausser l’éclat culturel de la commune</t>
  </si>
  <si>
    <t>Tous les acteurs sont connus et travaillent  ensemble</t>
  </si>
  <si>
    <r>
      <t>-</t>
    </r>
    <r>
      <rPr>
        <sz val="7"/>
        <color theme="1"/>
        <rFont val="Times New Roman"/>
        <family val="1"/>
      </rPr>
      <t xml:space="preserve">  </t>
    </r>
    <r>
      <rPr>
        <sz val="11"/>
        <color theme="1"/>
        <rFont val="Arial"/>
        <family val="2"/>
      </rPr>
      <t>Liste des acteurs</t>
    </r>
  </si>
  <si>
    <r>
      <t>-</t>
    </r>
    <r>
      <rPr>
        <sz val="7"/>
        <color theme="1"/>
        <rFont val="Times New Roman"/>
        <family val="1"/>
      </rPr>
      <t xml:space="preserve">  </t>
    </r>
    <r>
      <rPr>
        <sz val="11"/>
        <color theme="1"/>
        <rFont val="Arial"/>
        <family val="2"/>
      </rPr>
      <t>Chronogramme d’activités</t>
    </r>
  </si>
  <si>
    <t>Disponibilité de la banque de données au niveau des OGC (SOCAM, SCAAP, SOCADAP, SOCILADRA), etc.</t>
  </si>
  <si>
    <r>
      <t>A1R1O1- Construire  07 foyers communautaires  dans la commune de Bafoussam 1</t>
    </r>
    <r>
      <rPr>
        <sz val="6.5"/>
        <color theme="1"/>
        <rFont val="Arial"/>
        <family val="2"/>
      </rPr>
      <t>er</t>
    </r>
  </si>
  <si>
    <t>A1R1O2. - Construire et équiper une bibliothèque  municipale</t>
  </si>
  <si>
    <t>Suivis/contrôle des</t>
  </si>
  <si>
    <t>A1R2O3- Réfectionner  le monument Wanko</t>
  </si>
  <si>
    <t>Suivis/contrôle  des  travaux/réception</t>
  </si>
  <si>
    <t>S/s-total R2O3</t>
  </si>
  <si>
    <t>A1R3O3- Organiser  les acteurs du secteur de la culture (Groupes  de danse, sectoriels, associations, partenaires,  etc.) autour d’une plateforme</t>
  </si>
  <si>
    <t>Recruter les personnes  ressources et organiser le secteur</t>
  </si>
  <si>
    <t>Disponibilité  des finances</t>
  </si>
  <si>
    <t>A2R3O3  - Créer une commission communale d’archivage  et la doter d’un personnel qualifié</t>
  </si>
  <si>
    <t>Recruter les personnes  ressources et organiser  l’activité</t>
  </si>
  <si>
    <t>A1R1O4- Construire  le site devant  abriter les archives</t>
  </si>
  <si>
    <t>Disponibilité  des sites</t>
  </si>
  <si>
    <t>Disponibilité  des finances et des sites sécurisés</t>
  </si>
  <si>
    <t>Exécution des travaux   (Matériaux, main d’œuvre)</t>
  </si>
  <si>
    <t>Total MINAC</t>
  </si>
  <si>
    <t>Faciliter l’accès aux infrastructures d’accompagnement pour la jeune fille, et l’implication des femmes dans la prise de décisions.</t>
  </si>
  <si>
    <t>1-Créer et rendre fonctionnels 04 centres de promotion de la femme dans la commune.</t>
  </si>
  <si>
    <t>04 centres de promotion de la femme créés, construits et fonctionnels</t>
  </si>
  <si>
    <t>-procès-verbal  de réception</t>
  </si>
  <si>
    <t>2-Réhabiliter le CPF de Bafoussam.</t>
  </si>
  <si>
    <t>CPF de Bafoussam réhabilité</t>
  </si>
  <si>
    <r>
      <t xml:space="preserve">- </t>
    </r>
    <r>
      <rPr>
        <sz val="11"/>
        <color theme="1"/>
        <rFont val="Arial"/>
        <family val="2"/>
      </rPr>
      <t>Décision de la création</t>
    </r>
  </si>
  <si>
    <t>4-Améliorer les conditions sociales et professionnelles de la jeune fille et de la femme</t>
  </si>
  <si>
    <t>-Volonté de l’Exécutif communal</t>
  </si>
  <si>
    <t>R1O1 : 04 centres de Promotion de la Femme et de la Famille crées et opérationnels</t>
  </si>
  <si>
    <t>O4 centres de promotion de la femme qui fonctionnent</t>
  </si>
  <si>
    <t>R1O2 : Le CPF de Bafoussam est réhabilité</t>
  </si>
  <si>
    <t>CPF présentable</t>
  </si>
  <si>
    <t>Le Nombre de séance organisé</t>
  </si>
  <si>
    <r>
      <t xml:space="preserve">- </t>
    </r>
    <r>
      <rPr>
        <sz val="11"/>
        <color theme="1"/>
        <rFont val="Arial"/>
        <family val="2"/>
      </rPr>
      <t>Présence des femmes dans les lieux de décision</t>
    </r>
  </si>
  <si>
    <t>R3O4 : au moins deux mariages collectifs sont organisés chaque année</t>
  </si>
  <si>
    <t>Réduction du pourcentage du concubinage et des unions libres</t>
  </si>
  <si>
    <t>-Registres matrimoniaux</t>
  </si>
  <si>
    <t>R4O4 : les textes de promotion et de protection des droits de la femme sont extraits et diffusés (la convention CEDEF et protocole de Maputo</t>
  </si>
  <si>
    <t>Diminution des violences faites aux femmes et aux veuves</t>
  </si>
  <si>
    <t>Leadership féminin amélioré</t>
  </si>
  <si>
    <r>
      <t>A1R1O1- Solliciter la création de 04 centres de promotion de la femme dans la commune de Bafoussam 1</t>
    </r>
    <r>
      <rPr>
        <sz val="6.5"/>
        <color theme="1"/>
        <rFont val="Arial"/>
        <family val="2"/>
      </rPr>
      <t>ER</t>
    </r>
  </si>
  <si>
    <r>
      <t>A2R1O1- Construire O4 centres de promotion de la femme dans la commune de Bafoussam 1</t>
    </r>
    <r>
      <rPr>
        <sz val="6.5"/>
        <color theme="1"/>
        <rFont val="Arial"/>
        <family val="2"/>
      </rPr>
      <t>ER</t>
    </r>
  </si>
  <si>
    <t>S/s total 1</t>
  </si>
  <si>
    <t>A1R1O2-Réhabiliter le CPF de Bafoussam</t>
  </si>
  <si>
    <t>5 00 000</t>
  </si>
  <si>
    <t>S/s total 2</t>
  </si>
  <si>
    <t>A1R2O3- Construire la délégation d’arrondissement du MINPROF</t>
  </si>
  <si>
    <t>S/s total 3</t>
  </si>
  <si>
    <t>A2R3O4 : Célébrer au moins 02 mariages collectifs par an</t>
  </si>
  <si>
    <t>Enregistrer les candidatures</t>
  </si>
  <si>
    <t>Organiser les différentes célébrations</t>
  </si>
  <si>
    <t>S/s total 4</t>
  </si>
  <si>
    <t>A1R4O4 : Vulgariser les textes de promotion et de protection des droits de la femme</t>
  </si>
  <si>
    <t>Multiplier et ventiler des extraits de textes sur les droits de la femme</t>
  </si>
  <si>
    <t>A1R5O4 : Organiser des ateliers de renforcement des capacités politiques des femmes</t>
  </si>
  <si>
    <t>Recruter les personnes ressources et organiser les ateliers de renforcement des capacités des femmes sur leur implication dans la politique</t>
  </si>
  <si>
    <t>Total MINPROFF</t>
  </si>
  <si>
    <t>1- Octroyer chaque année au moins 15% du budget annuel de la commune aux aides et secours pour les couches vulnérables (aides scolaires, aides alimentaires, aides médicales, aides économiques, aides juridiques, appareillage) de la commune.</t>
  </si>
  <si>
    <t>15% du budget de la commune sont destinés aux aides aux  couches vulnérables</t>
  </si>
  <si>
    <t>-liste des récipiendaires</t>
  </si>
  <si>
    <t>Identification de la cible à aider (personnes âgées, handicapés, enfants, personnes indigentes)</t>
  </si>
  <si>
    <t>2- Créer une caisse d’urgence au centre social de Bafoussam pour des cas sociaux</t>
  </si>
  <si>
    <t>Existence d’une caisse d’urgence au centre social</t>
  </si>
  <si>
    <t>R1O1 : Des aides et secours octroyés chaque année à 15 % des personnes appartenant aux couches vulnérables de la commune.</t>
  </si>
  <si>
    <t>Les aides et secours disponibles pour les couches vulnérables de la commune</t>
  </si>
  <si>
    <t>R1O2 : Une caisse d’urgence est  créée</t>
  </si>
  <si>
    <t>Rapport du Centre social</t>
  </si>
  <si>
    <t>R1O3 : Fonds de financement disponible à la Commune</t>
  </si>
  <si>
    <t>Les associations de couches vulnérables bénéficient effectivement de l’appui du fonds de financement pour leurs activités</t>
  </si>
  <si>
    <t>A1R2- créer une caisse d’urgence au centre social  pour les cas sociaux</t>
  </si>
  <si>
    <t>Recruter une personne ressource et rechercher les fonds</t>
  </si>
  <si>
    <t>A1R3- Créer le fonds de financement des activités génératrices de revenus des associations des couches vulnérables</t>
  </si>
  <si>
    <t>Octroyer des appuis financiers aux bénéficiaires</t>
  </si>
  <si>
    <t>Total MINAS</t>
  </si>
  <si>
    <t>Faciliter l’accès des populations  de la commune  à l’eau potable</t>
  </si>
  <si>
    <t>- Nombre d’abonnés  CDE</t>
  </si>
  <si>
    <t>CDE, MINEE, Mairie (cellule de  gestion des eaux)</t>
  </si>
  <si>
    <t>1. Etendre les deux réseaux de distribution d’eau potable dans la commune</t>
  </si>
  <si>
    <t>2- Construire et aménager de nouveaux points d’eau sur le territoire communal</t>
  </si>
  <si>
    <r>
      <t>-</t>
    </r>
    <r>
      <rPr>
        <sz val="7"/>
        <color theme="1"/>
        <rFont val="Times New Roman"/>
        <family val="1"/>
      </rPr>
      <t xml:space="preserve">    </t>
    </r>
    <r>
      <rPr>
        <sz val="9.5"/>
        <color theme="1"/>
        <rFont val="Arial"/>
        <family val="2"/>
      </rPr>
      <t>Rapport  de réalisation des travaux</t>
    </r>
  </si>
  <si>
    <r>
      <t>-</t>
    </r>
    <r>
      <rPr>
        <sz val="7"/>
        <color theme="1"/>
        <rFont val="Times New Roman"/>
        <family val="1"/>
      </rPr>
      <t xml:space="preserve">    </t>
    </r>
    <r>
      <rPr>
        <sz val="9.5"/>
        <color theme="1"/>
        <rFont val="Arial"/>
        <family val="2"/>
      </rPr>
      <t>Liste des abonnées</t>
    </r>
  </si>
  <si>
    <r>
      <t>-</t>
    </r>
    <r>
      <rPr>
        <sz val="7"/>
        <color theme="1"/>
        <rFont val="Times New Roman"/>
        <family val="1"/>
      </rPr>
      <t xml:space="preserve">    </t>
    </r>
    <r>
      <rPr>
        <sz val="9.5"/>
        <color theme="1"/>
        <rFont val="Arial"/>
        <family val="2"/>
      </rPr>
      <t>Données  géo-référentielles</t>
    </r>
  </si>
  <si>
    <t>3-Réhabiliter  les points d’eaux défectueux du territoire communal</t>
  </si>
  <si>
    <t>4-Améliorer  le mécanisme d’entretien des points d’eau</t>
  </si>
  <si>
    <t>Une cellule de gestion des eaux est fonctionnelle  au sein de la commune</t>
  </si>
  <si>
    <r>
      <t xml:space="preserve">-   </t>
    </r>
    <r>
      <rPr>
        <sz val="9.5"/>
        <color theme="1"/>
        <rFont val="Arial"/>
        <family val="2"/>
      </rPr>
      <t>arrêté de création</t>
    </r>
  </si>
  <si>
    <t>Conception  d’un règlement  et statut de la structure qui doit être apolitique</t>
  </si>
  <si>
    <t>R1 O1- Le réseau de distribution de la Camerounaise Des  Eaux est étendu sur 73 km dans la commune.</t>
  </si>
  <si>
    <t>Le réseau CDE est étendu et accessible dans tous les villages.</t>
  </si>
  <si>
    <r>
      <t xml:space="preserve">-  </t>
    </r>
    <r>
      <rPr>
        <sz val="11"/>
        <color theme="1"/>
        <rFont val="Arial"/>
        <family val="2"/>
      </rPr>
      <t>Sites d’extension du réseau</t>
    </r>
  </si>
  <si>
    <t>R2-O1 -02 nouveaux  villages  bénéficient  de l’extension du captage d’eau de Ndiembou</t>
  </si>
  <si>
    <t>02 villages  de plus sont effectivement alimentés par l’eau du captage de Ndiembou</t>
  </si>
  <si>
    <r>
      <t xml:space="preserve">-   </t>
    </r>
    <r>
      <rPr>
        <sz val="9.5"/>
        <color theme="1"/>
        <rFont val="Arial"/>
        <family val="2"/>
      </rPr>
      <t>Descente sur le terrain</t>
    </r>
  </si>
  <si>
    <t>40 nouveaux forages qui fonctionnent</t>
  </si>
  <si>
    <r>
      <t xml:space="preserve">-  </t>
    </r>
    <r>
      <rPr>
        <sz val="11"/>
        <color theme="1"/>
        <rFont val="Arial"/>
        <family val="2"/>
      </rPr>
      <t>Descente sur le terrain</t>
    </r>
  </si>
  <si>
    <t>12 puits avec  châteaux sont construits</t>
  </si>
  <si>
    <t>R1-O3-.  11 forages  sont réhabilités dans la commune</t>
  </si>
  <si>
    <t>11 forages  qui sont redevenus fonctionnels</t>
  </si>
  <si>
    <t>R2-O3- 05 bornes fontaines  du réseau de captage d’eau de Ndiembou  sont réhabilitées</t>
  </si>
  <si>
    <t>R3-O3- un groupe électrogène  est acquis pour  Ndiembou</t>
  </si>
  <si>
    <t>Un groupe électrogène alimente la station de captage de Ndiembou  en cas de coupure  d’électricité</t>
  </si>
  <si>
    <r>
      <t xml:space="preserve">-   </t>
    </r>
    <r>
      <rPr>
        <sz val="9.5"/>
        <color theme="1"/>
        <rFont val="Arial"/>
        <family val="2"/>
      </rPr>
      <t>PV de réception</t>
    </r>
  </si>
  <si>
    <t>R1-O4- une cellule communale de gestion des eaux est créée</t>
  </si>
  <si>
    <r>
      <t xml:space="preserve">-   </t>
    </r>
    <r>
      <rPr>
        <sz val="9.5"/>
        <color theme="1"/>
        <rFont val="Arial"/>
        <family val="2"/>
      </rPr>
      <t>Décret de création</t>
    </r>
  </si>
  <si>
    <t>Suivi/contrôle et réception</t>
  </si>
  <si>
    <t>A1R2 O2- Aménager 07 sources</t>
  </si>
  <si>
    <t>A3RO2- Construire 12 puits avec châteaux dans la commune</t>
  </si>
  <si>
    <t>A1R4O2- Créer de 02 nouvelles bornes fontaines sur le réseau de captage d’eau de Ndiembou</t>
  </si>
  <si>
    <t>Sous total 6</t>
  </si>
  <si>
    <r>
      <t>A1R1O3</t>
    </r>
    <r>
      <rPr>
        <sz val="9.5"/>
        <color theme="1"/>
        <rFont val="Arial"/>
        <family val="2"/>
      </rPr>
      <t>-</t>
    </r>
    <r>
      <rPr>
        <sz val="11"/>
        <color theme="1"/>
        <rFont val="Arial"/>
        <family val="2"/>
      </rPr>
      <t>- Réhabiliter 11 forages</t>
    </r>
  </si>
  <si>
    <t>Sous total 7</t>
  </si>
  <si>
    <r>
      <t>A1R3O3</t>
    </r>
    <r>
      <rPr>
        <sz val="9.5"/>
        <color theme="1"/>
        <rFont val="Arial"/>
        <family val="2"/>
      </rPr>
      <t>-</t>
    </r>
    <r>
      <rPr>
        <sz val="11"/>
        <color theme="1"/>
        <rFont val="Arial"/>
        <family val="2"/>
      </rPr>
      <t>- Doter la station de captage de Ndiembou d’un groupe électrogène</t>
    </r>
  </si>
  <si>
    <t>Sous-Total  8</t>
  </si>
  <si>
    <t>Total  MINEE/HYDRAULIQUE</t>
  </si>
  <si>
    <t>1-Améliorer le réseau de distribution de l’énergie électrique dans la Commune</t>
  </si>
  <si>
    <r>
      <t xml:space="preserve">-  </t>
    </r>
    <r>
      <rPr>
        <sz val="11"/>
        <color theme="1"/>
        <rFont val="Arial"/>
        <family val="2"/>
      </rPr>
      <t>Site d’implantation</t>
    </r>
  </si>
  <si>
    <t>Le réseau de distribution électrique AES/SONEL qui est étendu sur 155 km.</t>
  </si>
  <si>
    <r>
      <t xml:space="preserve">-  </t>
    </r>
    <r>
      <rPr>
        <sz val="11"/>
        <color theme="1"/>
        <rFont val="Arial"/>
        <family val="2"/>
      </rPr>
      <t>Site d’implantation des transformateurs</t>
    </r>
  </si>
  <si>
    <t>R1O2- Des villages bénéficient de l’éclairage public</t>
  </si>
  <si>
    <t>L’éclairage public alimente 05 villages</t>
  </si>
  <si>
    <r>
      <t xml:space="preserve">-  </t>
    </r>
    <r>
      <rPr>
        <sz val="11"/>
        <color theme="1"/>
        <rFont val="Arial"/>
        <family val="2"/>
      </rPr>
      <t>Plan de situation  et plan d’exécution, PV de réception.</t>
    </r>
  </si>
  <si>
    <r>
      <t xml:space="preserve">-   </t>
    </r>
    <r>
      <rPr>
        <b/>
        <sz val="11"/>
        <color theme="1"/>
        <rFont val="Arial"/>
        <family val="2"/>
      </rPr>
      <t>A1R1O1- Etendre le réseau électrique</t>
    </r>
  </si>
  <si>
    <t>(BT, MT, HT) AES/SONEL sur 155 Km</t>
  </si>
  <si>
    <r>
      <t xml:space="preserve">dans le territoire communal : </t>
    </r>
    <r>
      <rPr>
        <b/>
        <sz val="9.5"/>
        <color theme="1"/>
        <rFont val="Arial"/>
        <family val="2"/>
      </rPr>
      <t xml:space="preserve">Batoukop </t>
    </r>
    <r>
      <rPr>
        <sz val="9.5"/>
        <color theme="1"/>
        <rFont val="Arial"/>
        <family val="2"/>
      </rPr>
      <t xml:space="preserve">(sur 1,6 km) : entrée du procureur-vers le  pont (500m),  une  montée   (400m),   procureur- carrière (500m), un tronçon (200m), </t>
    </r>
    <r>
      <rPr>
        <b/>
        <sz val="9.5"/>
        <color theme="1"/>
        <rFont val="Arial"/>
        <family val="2"/>
      </rPr>
      <t xml:space="preserve">Njingha 1 </t>
    </r>
    <r>
      <rPr>
        <sz val="9.5"/>
        <color theme="1"/>
        <rFont val="Arial"/>
        <family val="2"/>
      </rPr>
      <t xml:space="preserve">(sur 2,3 km) , </t>
    </r>
    <r>
      <rPr>
        <b/>
        <sz val="9.5"/>
        <color theme="1"/>
        <rFont val="Arial"/>
        <family val="2"/>
      </rPr>
      <t xml:space="preserve">Banefo </t>
    </r>
    <r>
      <rPr>
        <sz val="9.5"/>
        <color theme="1"/>
        <rFont val="Arial"/>
        <family val="2"/>
      </rPr>
      <t xml:space="preserve">(sur 8 km), </t>
    </r>
    <r>
      <rPr>
        <b/>
        <sz val="9.5"/>
        <color theme="1"/>
        <rFont val="Arial"/>
        <family val="2"/>
      </rPr>
      <t xml:space="preserve">Famcep , Medjo 2, Ndiengdam 1, Mvoutsa’a  </t>
    </r>
    <r>
      <rPr>
        <sz val="9.5"/>
        <color theme="1"/>
        <rFont val="Arial"/>
        <family val="2"/>
      </rPr>
      <t>(sur  6 km) :     TSETE,     BOUGAM     et     DZEMNA,</t>
    </r>
  </si>
  <si>
    <r>
      <t xml:space="preserve">Ndiengso   2   </t>
    </r>
    <r>
      <rPr>
        <sz val="9.5"/>
        <color theme="1"/>
        <rFont val="Arial"/>
        <family val="2"/>
      </rPr>
      <t xml:space="preserve">(sur   6km) ,   </t>
    </r>
    <r>
      <rPr>
        <b/>
        <sz val="9.5"/>
        <color theme="1"/>
        <rFont val="Arial"/>
        <family val="2"/>
      </rPr>
      <t xml:space="preserve">Banengo   Village 3 </t>
    </r>
    <r>
      <rPr>
        <sz val="9.5"/>
        <color theme="1"/>
        <rFont val="Arial"/>
        <family val="2"/>
      </rPr>
      <t>(sur 3 km): du Collège TAMA au pont Kilombo,</t>
    </r>
    <r>
      <rPr>
        <b/>
        <sz val="9.5"/>
        <color theme="1"/>
        <rFont val="Arial"/>
        <family val="2"/>
      </rPr>
      <t xml:space="preserve">Melam 2 </t>
    </r>
    <r>
      <rPr>
        <sz val="9.5"/>
        <color theme="1"/>
        <rFont val="Arial"/>
        <family val="2"/>
      </rPr>
      <t xml:space="preserve">(sur 5km) : de chez Ndeffo Tamwé à l’EP, </t>
    </r>
    <r>
      <rPr>
        <b/>
        <sz val="9.5"/>
        <color theme="1"/>
        <rFont val="Arial"/>
        <family val="2"/>
      </rPr>
      <t xml:space="preserve">Ndiengso 1, Njingha  2  , Melam 1 </t>
    </r>
    <r>
      <rPr>
        <sz val="9.5"/>
        <color theme="1"/>
        <rFont val="Arial"/>
        <family val="2"/>
      </rPr>
      <t xml:space="preserve">(sur 5 km) : carrefour plaque à carrefour Tagne Zaccharie (1km) ; Naoussi Joseph à Tiemdzi(2km) ; -école publique de melam centre à Megamwé (1km) ; école publique de melam centre à tchouokam (1km) en passant  par la chefferie,  </t>
    </r>
    <r>
      <rPr>
        <b/>
        <sz val="9.5"/>
        <color theme="1"/>
        <rFont val="Arial"/>
        <family val="2"/>
      </rPr>
      <t xml:space="preserve">Banengo Village C </t>
    </r>
    <r>
      <rPr>
        <sz val="9.5"/>
        <color theme="1"/>
        <rFont val="Arial"/>
        <family val="2"/>
      </rPr>
      <t>(dans les  blocs 2 et 3),</t>
    </r>
    <r>
      <rPr>
        <b/>
        <sz val="9.5"/>
        <color theme="1"/>
        <rFont val="Arial"/>
        <family val="2"/>
      </rPr>
      <t xml:space="preserve">Bamendzi 1 </t>
    </r>
    <r>
      <rPr>
        <sz val="9.5"/>
        <color theme="1"/>
        <rFont val="Arial"/>
        <family val="2"/>
      </rPr>
      <t>: dans les blocs 6, 7 et 8.</t>
    </r>
  </si>
  <si>
    <t>Suivis/contrôle  des travaux/réception</t>
  </si>
  <si>
    <r>
      <t>A1R3O1</t>
    </r>
    <r>
      <rPr>
        <sz val="11"/>
        <color theme="1"/>
        <rFont val="Arial"/>
        <family val="2"/>
      </rPr>
      <t xml:space="preserve">-  Dépanner 04 transformateurs : </t>
    </r>
    <r>
      <rPr>
        <sz val="9.5"/>
        <color theme="1"/>
        <rFont val="Arial"/>
        <family val="2"/>
      </rPr>
      <t>Mvoutsa’a,  Tomdjo  (1 transformateur), Bamendzi 1 (2 transformateurs)</t>
    </r>
  </si>
  <si>
    <r>
      <t xml:space="preserve">A1R1O2 </t>
    </r>
    <r>
      <rPr>
        <sz val="11"/>
        <color theme="1"/>
        <rFont val="Arial"/>
        <family val="2"/>
      </rPr>
      <t>– installer l’éclairage public dans</t>
    </r>
  </si>
  <si>
    <r>
      <t xml:space="preserve">05 villages : </t>
    </r>
    <r>
      <rPr>
        <b/>
        <sz val="9.5"/>
        <color theme="1"/>
        <rFont val="Arial"/>
        <family val="2"/>
      </rPr>
      <t>Banengo Village 3 (</t>
    </r>
    <r>
      <rPr>
        <sz val="9.5"/>
        <color theme="1"/>
        <rFont val="Arial"/>
        <family val="2"/>
      </rPr>
      <t xml:space="preserve">pont KILOMBO, série de la villa),  </t>
    </r>
    <r>
      <rPr>
        <b/>
        <sz val="9.5"/>
        <color theme="1"/>
        <rFont val="Arial"/>
        <family val="2"/>
      </rPr>
      <t>Ndiengso 1, Bamendzi 3, Famla 1, Famla 2</t>
    </r>
  </si>
  <si>
    <t>Total MINEE/ENERGIE</t>
  </si>
  <si>
    <t>Faciliter l’accès  des populations de la commune à un enseignement secondaire de qualité</t>
  </si>
  <si>
    <t>1-Augmenter le nombre d’établissements d’enseignement secondaire général et technique dans la Commune</t>
  </si>
  <si>
    <t>2- Doter le lycée de Batoukop et le CETIC de Tayim d’infrastructures scolaires appropriées</t>
  </si>
  <si>
    <r>
      <t xml:space="preserve">- </t>
    </r>
    <r>
      <rPr>
        <sz val="11"/>
        <color theme="1"/>
        <rFont val="Arial"/>
        <family val="2"/>
      </rPr>
      <t>PV de réception des travaux</t>
    </r>
  </si>
  <si>
    <t>Infrastructures réhabilitées</t>
  </si>
  <si>
    <t>R1O1- 08 nouveaux CES créés, construits et opérationnels  dans la commune</t>
  </si>
  <si>
    <t>08 nouveaux CES fonctionnels dans la commune</t>
  </si>
  <si>
    <t>07 nouveaux CETIC fonctionnels dans la commune</t>
  </si>
  <si>
    <t>R2O2- 600 tables-bancs fabriquées et disponibles pour le lycée de Batoukop et le CETIC de Tayim</t>
  </si>
  <si>
    <t>600 tables-bancs  fabriquées</t>
  </si>
  <si>
    <t>R3O2- 04 points d’eau sont opérationnels au lycée de Batoukop</t>
  </si>
  <si>
    <t>04 points d’eau fonctionnels</t>
  </si>
  <si>
    <t>PV de réception</t>
  </si>
  <si>
    <t>A1R1O1- Solliciter la création de 08 CES dans la commune</t>
  </si>
  <si>
    <t>Rédiger une demande à adresser à qui de droit</t>
  </si>
  <si>
    <t>A2.R1O1- Construire 08 CES dans la commune</t>
  </si>
  <si>
    <t>S/s-total 1</t>
  </si>
  <si>
    <t>A1R2O1- Solliciter la création de 07 CETIC dans la commune</t>
  </si>
  <si>
    <t>S/s-total 2</t>
  </si>
  <si>
    <t>A1R1O2- Construire 20 salles de classe au lycée de Batoukop et au CETIC de Tayim</t>
  </si>
  <si>
    <t>S/s-total 3</t>
  </si>
  <si>
    <t>A1R2O2- Commander et fabriquer 600 tables-bancs pour les établissements d’enseignement secondaire de la commune.</t>
  </si>
  <si>
    <t>S/s-total 4</t>
  </si>
  <si>
    <t>A1R3O2- Construire 4 points d’eau au lycée de Batoukop</t>
  </si>
  <si>
    <t>Négociation du marché et exécution des travaux</t>
  </si>
  <si>
    <t>S/s-total 5</t>
  </si>
  <si>
    <t>Total MINESEC</t>
  </si>
  <si>
    <t>. Faciliter  l’accès aux formations professionnelles dans la commune</t>
  </si>
  <si>
    <t>1-Améliorer l’accès aux formations professionnelles adéquates</t>
  </si>
  <si>
    <t>R1O1- 03 centres de formation professionnelle créés et fonctionnels dans la commune notamment à Batoukop et Ndemsiem</t>
  </si>
  <si>
    <t>03 centres de formation professionnelle  fonctionnels dont ceux de Batoukop et Ndemsiem</t>
  </si>
  <si>
    <t>Disponibilité des sites et des financements</t>
  </si>
  <si>
    <t>R2O1- Des référentiels sur les thématiques de formation professionnelle sont élaborés et utilisés pour le renforcement des capacités des chercheurs d’emploi dans la commune</t>
  </si>
  <si>
    <t>Taux de recrutement des personnes formées</t>
  </si>
  <si>
    <t>Volonté politique</t>
  </si>
  <si>
    <t>R1O2- Une base de données des opportunités d’emploi est élaborée, régulièrement actualisée et communiquée au public</t>
  </si>
  <si>
    <t>Les informations sur l’emploi au niveau local sont partagées par les chercheurs d’emploi</t>
  </si>
  <si>
    <t>Base de données</t>
  </si>
  <si>
    <t>R2O2- 01 source de financement et les procédures d’obtention disponible et maîtrisée par les porteurs de projets</t>
  </si>
  <si>
    <t>PV de décharge des financements</t>
  </si>
  <si>
    <t>A1R1O1- Construire et équiper 03 centres de formation professionnelle  dans la commune notamment à Batoukop et Ndemsiem</t>
  </si>
  <si>
    <t>Adresser une correspondance de sollicitation pour création des SAR/SM/CFM à  qui de droit</t>
  </si>
  <si>
    <t>A2R2O2-Organiser les réunions de concertation sur l’emploi et les sources de financement des projets avec les sectoriels et les chercheurs d’emploi</t>
  </si>
  <si>
    <t>Identifier les bénéficiaires</t>
  </si>
  <si>
    <t>Tenir les réunions de concertation</t>
  </si>
  <si>
    <t>Total MINEFOP</t>
  </si>
  <si>
    <t>Faciliter  l’accès  à  une couverture sociale de qualité  des populations dans la commune</t>
  </si>
  <si>
    <t>1 - Sensibiliser les employeurs sur la nécessité d’affilier leurs travailleurs à la CNPS et les travailleurs sur l’importance de se faire immatriculer à la CNPS</t>
  </si>
  <si>
    <t>Les travailleurs sont affiliés à la CNPS</t>
  </si>
  <si>
    <t>Réticence des bénéficiaires</t>
  </si>
  <si>
    <t>2 - Sensibiliser les employeurs sur les droits des enfants</t>
  </si>
  <si>
    <t>Les enfants ne sont plus employés dans les entreprises</t>
  </si>
  <si>
    <t>3- Sensibiliser les populations sur la nécessité d’adhérer aux mutuelles de sécurité sociale</t>
  </si>
  <si>
    <r>
      <t xml:space="preserve">- </t>
    </r>
    <r>
      <rPr>
        <sz val="11"/>
        <color theme="1"/>
        <rFont val="Arial"/>
        <family val="2"/>
      </rPr>
      <t>Fiches de création et d’enregistrement des mutuelles</t>
    </r>
  </si>
  <si>
    <t>Identification des associations existantes</t>
  </si>
  <si>
    <t>R1O1 : Les employeurs affilient leurs employés à la CNPS</t>
  </si>
  <si>
    <t>Volonté des responsables des structures</t>
  </si>
  <si>
    <t>R2O1-Les employés ont perçu la nécessité de s’affilier à la CNPS</t>
  </si>
  <si>
    <t>N° d’affiliation à la CNPS pour chaque travailleur</t>
  </si>
  <si>
    <t>R1O3 : la population adhère aux mutuelles de sécurité sociale</t>
  </si>
  <si>
    <t>Nombre de personnes inscrites dans les mutuelles</t>
  </si>
  <si>
    <t>Registre d’adhésion</t>
  </si>
  <si>
    <t>A1R1O1-Organiser 03 réunions de travail avec les employeurs pour leur parler de la nécessité d’affilier leurs travailleurs à la CNPS</t>
  </si>
  <si>
    <t>Identifier les chefs d’entreprises réfractaires à l’immatriculation du personnel et n’ayant pas encore affilié leurs employés à la CNPS</t>
  </si>
  <si>
    <t>planning  du Délégué du MINTSS</t>
  </si>
  <si>
    <t>Animer 03 réunions d’informations Identifier les employeurs employant les enfants de moins de 14 ans</t>
  </si>
  <si>
    <t>A1R1O3- Organiser 42 ateliers de</t>
  </si>
  <si>
    <t>A2R1O3- Vulgariser l’importance des mutuelles de sécurité sociale à travers les médias à raison de 03 tables-rondes radiodiffusées</t>
  </si>
  <si>
    <t>Préparer les tables-rondes avec des personnes ressource, prendre contact avec les médias et envisager le lancement des activités des mutuelles de sécurité sociale</t>
  </si>
  <si>
    <t>activités dans le planning  du Délégué du MINTSS</t>
  </si>
  <si>
    <t>Sous-total2</t>
  </si>
  <si>
    <t>Total MINTSS</t>
  </si>
  <si>
    <t>Faciliter la mise en valeur du potentiel touristique existant dans e la commune</t>
  </si>
  <si>
    <t>1-Aménager  05 sites touristiques existant  dans la commune.</t>
  </si>
  <si>
    <t>05 sites touristiques aménagés</t>
  </si>
  <si>
    <t>2- Elaborer le répertoire des différents promoteurs des établissements touristiques</t>
  </si>
  <si>
    <t>Tous les acteurs du secteur touristique sont connus</t>
  </si>
  <si>
    <t>Liste des promoteurs</t>
  </si>
  <si>
    <t>Disponibilité de la carte hôtelière</t>
  </si>
  <si>
    <t>4- Créer 06 points fonctionnels de ventes d’objets d’art de souvenir dans la commune.</t>
  </si>
  <si>
    <t>06 points de vente d’objets d’art de souvenir créés et fonctionnels</t>
  </si>
  <si>
    <t>R1O1- 05 sites touristiques aménagés et fonctionnels dans la commune.</t>
  </si>
  <si>
    <t>05 sites touristiques sont effectivement aménagés et fonctionnels</t>
  </si>
  <si>
    <t>R1O2- Le répertoire des promoteurs des établissements touristiques est disponible</t>
  </si>
  <si>
    <t>Répertoire disponible</t>
  </si>
  <si>
    <t>Un office communal opérationnel dans la commune</t>
  </si>
  <si>
    <t>A1R1O1- Réaliser les études de faisabilité d’aménagement des 05 sites touristiques de la commune.</t>
  </si>
  <si>
    <t>A2R1O1.- Aménager les 05 sites touristiques de la commune.</t>
  </si>
  <si>
    <t>Mettre en place l’office et le rendre fonctionnel selon les procédures légales</t>
  </si>
  <si>
    <t>A1R4O4- Créer et équiper 06 points de vente d’objets d’art de souvenir dans la commune</t>
  </si>
  <si>
    <t>Total MINTOUL</t>
  </si>
  <si>
    <t>Faciliter la protection  du patrimoine forestier et des arbustes parsemés dans la commune</t>
  </si>
  <si>
    <r>
      <t xml:space="preserve">- </t>
    </r>
    <r>
      <rPr>
        <sz val="11"/>
        <color theme="1"/>
        <rFont val="Arial"/>
        <family val="2"/>
      </rPr>
      <t>Les populations sont informées sur le rôle de l’arbre</t>
    </r>
  </si>
  <si>
    <t>2- Organiser une campagne de reboisement en distribuant 10 000 plants d’arbres chaque année</t>
  </si>
  <si>
    <t>- 10 000 plants sont distribués à la population</t>
  </si>
  <si>
    <r>
      <t>-</t>
    </r>
    <r>
      <rPr>
        <sz val="7"/>
        <color theme="1"/>
        <rFont val="Times New Roman"/>
        <family val="1"/>
      </rPr>
      <t xml:space="preserve">  </t>
    </r>
    <r>
      <rPr>
        <sz val="11"/>
        <color theme="1"/>
        <rFont val="Arial"/>
        <family val="2"/>
      </rPr>
      <t>Liste des bénéficiaires</t>
    </r>
  </si>
  <si>
    <r>
      <t>-</t>
    </r>
    <r>
      <rPr>
        <sz val="7"/>
        <color theme="1"/>
        <rFont val="Times New Roman"/>
        <family val="1"/>
      </rPr>
      <t xml:space="preserve">  </t>
    </r>
    <r>
      <rPr>
        <sz val="11"/>
        <color theme="1"/>
        <rFont val="Arial"/>
        <family val="2"/>
      </rPr>
      <t>Liste des essences distribuées</t>
    </r>
  </si>
  <si>
    <t>3- Créer et rendre opérationnel un espace destiné au marché des gibiers</t>
  </si>
  <si>
    <t>Un marché de gibier opérationnel</t>
  </si>
  <si>
    <t>PV de reception des travaux</t>
  </si>
  <si>
    <t>4-conserver les ressources forestières de Koupfou</t>
  </si>
  <si>
    <t>Réserve forestière de Koupfou protégée</t>
  </si>
  <si>
    <t>Disponibilité financière et site sécurisé</t>
  </si>
  <si>
    <t>R1O1 : Les populations préservent mieux le patrimoine forestier</t>
  </si>
  <si>
    <t>Le potentiel forestier est mieux préservé</t>
  </si>
  <si>
    <t>R1O2 : 10 000 plants d’arbres sont mis en terre par la population</t>
  </si>
  <si>
    <t>Le potentiel forestier de la commune qui s’accroit</t>
  </si>
  <si>
    <t>R1O3 : un marché de gibier existe et fonctionne</t>
  </si>
  <si>
    <t>Opérationnalisation du marché de gibier</t>
  </si>
  <si>
    <t>Réserve forestière pérenne</t>
  </si>
  <si>
    <t>Tâhes/Moyens</t>
  </si>
  <si>
    <t>A1R1O1 : Organiser et tenir la grande campagne de sensibilisation de la population sur l’importance de la forêt et des méfaits de feux de brousse</t>
  </si>
  <si>
    <t>Préparer et tenir des campagnes de sensibilisation</t>
  </si>
  <si>
    <t>Créer des forêts communautaires</t>
  </si>
  <si>
    <t>et communales</t>
  </si>
  <si>
    <t>A1R1O2 : Distribuer 10 000 plants d’arbres aux populations</t>
  </si>
  <si>
    <t>Acquérir  10 000 plants et les mettre à la disposition des populations</t>
  </si>
  <si>
    <t>Conscience des bénéficiaires</t>
  </si>
  <si>
    <t>A1R1O3: créer le  marché de gibier</t>
  </si>
  <si>
    <t>Disponibilité du site sécurisé</t>
  </si>
  <si>
    <t>Total MINFOF</t>
  </si>
  <si>
    <t>Promouvoir un développement  durable de la Commune dans un environnement sain et sécurisé</t>
  </si>
  <si>
    <t>1- Organiser 04 campagnes annuelles d’information de la population sur les normes élémentaires d’hygiène et de salubrité.</t>
  </si>
  <si>
    <t>Les populations assainissent mieux leur environnement</t>
  </si>
  <si>
    <r>
      <t xml:space="preserve">-  </t>
    </r>
    <r>
      <rPr>
        <sz val="11"/>
        <color theme="1"/>
        <rFont val="Arial"/>
        <family val="2"/>
      </rPr>
      <t>Rapport des activités de sensibilisation</t>
    </r>
  </si>
  <si>
    <t>Financement disponible et appui technique des sectoriels</t>
  </si>
  <si>
    <r>
      <t xml:space="preserve">-  </t>
    </r>
    <r>
      <rPr>
        <sz val="11"/>
        <color theme="1"/>
        <rFont val="Arial"/>
        <family val="2"/>
      </rPr>
      <t>Rapports des ateliers de sensibilisation</t>
    </r>
  </si>
  <si>
    <t>3-Améliorer les activités d’hygiène et de salubrité dans la Commune</t>
  </si>
  <si>
    <t>La commune est de plus en plus propre</t>
  </si>
  <si>
    <r>
      <t xml:space="preserve">-  </t>
    </r>
    <r>
      <rPr>
        <sz val="11"/>
        <color theme="1"/>
        <rFont val="Arial"/>
        <family val="2"/>
      </rPr>
      <t>Nombre des points de collecte dans la ville</t>
    </r>
  </si>
  <si>
    <t>Financement disponible</t>
  </si>
  <si>
    <t>4- implémenter dans la commune, le Plan de Gestion de l’Environnement  et mettre en œuvre les compétences transférées aux communes en matière de réalisation de la notice environnementale par les petites structures pollueuses</t>
  </si>
  <si>
    <t>Tous les plans de gestion existants sont mis e œuvre</t>
  </si>
  <si>
    <r>
      <t xml:space="preserve">-  </t>
    </r>
    <r>
      <rPr>
        <sz val="11"/>
        <color theme="1"/>
        <rFont val="Arial"/>
        <family val="2"/>
      </rPr>
      <t>Rapports du comité départemental de suivi des PGES</t>
    </r>
  </si>
  <si>
    <t>Le comité de suivi est opérationnel</t>
  </si>
  <si>
    <t>R1O1- 04 ateliers annuels de formation et de sensibilisation sur les respects des règles élémentaires d’hygiène et de salubrité sont tenus</t>
  </si>
  <si>
    <t>-PV des rencontres</t>
  </si>
  <si>
    <t>Rapports des commissions</t>
  </si>
  <si>
    <t>-Rapports des ateliers</t>
  </si>
  <si>
    <t>Nombre d’utilisateurs</t>
  </si>
  <si>
    <r>
      <t>R4O2</t>
    </r>
    <r>
      <rPr>
        <sz val="11"/>
        <color theme="1"/>
        <rFont val="Arial"/>
        <family val="2"/>
      </rPr>
      <t>- des arbres sont acquis et plantés</t>
    </r>
  </si>
  <si>
    <t>Superficies plantées 50 000 arbres plantés</t>
  </si>
  <si>
    <t>Nombre d’immondices réduits</t>
  </si>
  <si>
    <t>Nombre de bacs fonctionnels</t>
  </si>
  <si>
    <t>Nombre de comités d’hygiène opérationnels</t>
  </si>
  <si>
    <t>Nombre de personnes formées</t>
  </si>
  <si>
    <t>Nombre de structures avec notices environnementales</t>
  </si>
  <si>
    <t>Existence de certificat de conformité environnemental</t>
  </si>
  <si>
    <t>Registre communale des petits pollueurs</t>
  </si>
  <si>
    <t>Un  centre d’épuration des déchets spéciaux est opérationnel</t>
  </si>
  <si>
    <t>Carte environnementale disponible à la Mairie</t>
  </si>
  <si>
    <t>Banque de données</t>
  </si>
  <si>
    <t>MINFOF</t>
  </si>
  <si>
    <t>Identifier les espèces et les espaces à peupler</t>
  </si>
  <si>
    <t>Collaboration avec le MINFOFF</t>
  </si>
  <si>
    <t>Acheter les plants nécessaires</t>
  </si>
  <si>
    <t>Identifier les points d’immondices</t>
  </si>
  <si>
    <t>Déposer dans les points critiques les équipements appropriés</t>
  </si>
  <si>
    <t>Elaborer les TDR, préparer et tenir 09 ateliers du comité départemental de suivi des PGES</t>
  </si>
  <si>
    <t>Examiner les TDR et les rapports des notices</t>
  </si>
  <si>
    <t>Etablir la liste actualisée des structures  dites petits pollueurs de l’espace communal</t>
  </si>
  <si>
    <t>Disponibilité financière et des sites sécurisés</t>
  </si>
  <si>
    <t>S/s-total 6</t>
  </si>
  <si>
    <t>Réaliser des pointages au GPS</t>
  </si>
  <si>
    <t>Réaliser la carte</t>
  </si>
  <si>
    <t>Total MINEPDED</t>
  </si>
  <si>
    <t>Faciliter le développement du centre urbain de la commune</t>
  </si>
  <si>
    <t>1- Organiser 84 ateliers d’éducation de la population  sur l’usage d’un permis de bâtir avant toute construction.</t>
  </si>
  <si>
    <t>84 ateliers d’éducation de la population  sur l’usage d’un permis de bâtir avant toute construction organisés</t>
  </si>
  <si>
    <r>
      <t>R1O1</t>
    </r>
    <r>
      <rPr>
        <sz val="11"/>
        <color theme="1"/>
        <rFont val="Arial"/>
        <family val="2"/>
      </rPr>
      <t>- 84 ateliers d’éducation de la population sur l’usage d’un permis de bâtir avant toute construction organisés</t>
    </r>
  </si>
  <si>
    <t>Nombre de personnes ayant demandés et obtenus un permis de bâtir avant les constructions.</t>
  </si>
  <si>
    <t>- Registre des personnes qui ont un permis de bâtir</t>
  </si>
  <si>
    <r>
      <t>R1O2</t>
    </r>
    <r>
      <rPr>
        <sz val="11"/>
        <color theme="1"/>
        <rFont val="Arial"/>
        <family val="2"/>
      </rPr>
      <t>- Un espace vert aménagé dans le centre urbain de la commune</t>
    </r>
  </si>
  <si>
    <t>Un espace vert aménagé et fréquenté par le public dans le centre urbain de la commune</t>
  </si>
  <si>
    <t>Nombre de zones d’aménagement concerté</t>
  </si>
  <si>
    <t>Archives de la Commune et du MINDUH</t>
  </si>
  <si>
    <t>Sites sécurisés</t>
  </si>
  <si>
    <t>Type  de projet</t>
  </si>
  <si>
    <t>Site sécurisé</t>
  </si>
  <si>
    <r>
      <t xml:space="preserve">R1O3- </t>
    </r>
    <r>
      <rPr>
        <sz val="11"/>
        <color theme="1"/>
        <rFont val="Arial"/>
        <family val="2"/>
      </rPr>
      <t>Un plan d’occupation de sols ou plan sommaire d’urbanisation (PSU)</t>
    </r>
  </si>
  <si>
    <t>POS ou PSU</t>
  </si>
  <si>
    <t>Nombre de logements occupés</t>
  </si>
  <si>
    <t>Conditions préalables de réalisation</t>
  </si>
  <si>
    <r>
      <t xml:space="preserve">A1R1O1- </t>
    </r>
    <r>
      <rPr>
        <sz val="11"/>
        <color theme="1"/>
        <rFont val="Arial"/>
        <family val="2"/>
      </rPr>
      <t>Tenir 84 ateliers de formation sur l’usage d’un permis de bâtir avant toute construction</t>
    </r>
  </si>
  <si>
    <t>Préparer et animer les ateliers</t>
  </si>
  <si>
    <r>
      <t>A1R2O</t>
    </r>
    <r>
      <rPr>
        <sz val="11"/>
        <color theme="1"/>
        <rFont val="Arial"/>
        <family val="2"/>
      </rPr>
      <t>2 création d’une zone d’aménagement concrète dans la commune</t>
    </r>
  </si>
  <si>
    <t>Non flexibilité des grands propriétaires fonciers et les insérer dans les projets</t>
  </si>
  <si>
    <r>
      <t xml:space="preserve">A1R3O2- </t>
    </r>
    <r>
      <rPr>
        <sz val="11"/>
        <color theme="1"/>
        <rFont val="Arial"/>
        <family val="2"/>
      </rPr>
      <t>mise en œuvre d’un projet d’embellissement de la commune</t>
    </r>
  </si>
  <si>
    <t>Suivis/contrôle /réception</t>
  </si>
  <si>
    <r>
      <t>A1R1O4</t>
    </r>
    <r>
      <rPr>
        <sz val="11"/>
        <color theme="1"/>
        <rFont val="Arial"/>
        <family val="2"/>
      </rPr>
      <t>- Construction de 1000 logements</t>
    </r>
  </si>
  <si>
    <t>TOTAL MINHDU</t>
  </si>
  <si>
    <t>Faciliter la bonne gestion du potentiel foncier</t>
  </si>
  <si>
    <t>1- organiser une campagne d’Information des populations sur les procédures d’obtention du titre foncier.</t>
  </si>
  <si>
    <t>Les populations savent comment obtenir les titres fonciers</t>
  </si>
  <si>
    <t>3- Créer une plate-forme de concertation entre la commune et le service des domaines et affaires foncières.</t>
  </si>
  <si>
    <t>Plate-forme de concertation effectivement créée</t>
  </si>
  <si>
    <r>
      <t xml:space="preserve">R1O1- </t>
    </r>
    <r>
      <rPr>
        <sz val="11"/>
        <color theme="1"/>
        <rFont val="Arial"/>
        <family val="2"/>
      </rPr>
      <t>les populations sont informées sur les procédures d’obtention des titres fonciers</t>
    </r>
  </si>
  <si>
    <t>Hausse du nombre de demande d’établissement des titres fonciers</t>
  </si>
  <si>
    <t>Réticence de bénéficiaires</t>
  </si>
  <si>
    <t>- carte foncière</t>
  </si>
  <si>
    <r>
      <t xml:space="preserve">R1O3- </t>
    </r>
    <r>
      <rPr>
        <sz val="11"/>
        <color theme="1"/>
        <rFont val="Arial"/>
        <family val="2"/>
      </rPr>
      <t>Une plate-forme de concertation avec le service des domaines et affaires foncières  créée et opérationnelle</t>
    </r>
  </si>
  <si>
    <t>La plateforme de concertation avec le service des domaines et affaires foncières  opérationnelle</t>
  </si>
  <si>
    <r>
      <t>A1R1O1-</t>
    </r>
    <r>
      <rPr>
        <sz val="11"/>
        <color theme="1"/>
        <rFont val="Arial"/>
        <family val="2"/>
      </rPr>
      <t>. Organiser 84 ateliers de sensibilisation de la population sur les procédures d’obtention du titre foncier</t>
    </r>
  </si>
  <si>
    <t>Préparer et tenir des campagnes de sensibilisation en passant entre autres par les chefferies</t>
  </si>
  <si>
    <t>Disponibilité des finances Collaboration</t>
  </si>
  <si>
    <t>Total  MINDCAF</t>
  </si>
  <si>
    <t>Faciliter  l’accès aux semences améliorées et aux meilleures races d’animaux dans la commune</t>
  </si>
  <si>
    <t>1-Mettre à la disposition des  producteurs des semences améliorées et les meilleures souches d’animaux</t>
  </si>
  <si>
    <t>Des Semences  améliorées de différentes variétés et espèces de plantes existent dans les stations IRAD de l’Ouest et autres au Cameroun</t>
  </si>
  <si>
    <t>Existence IRAD Foumbot, Foumban, Dschang, S/C CRRI Ouest</t>
  </si>
  <si>
    <r>
      <t>R1O1</t>
    </r>
    <r>
      <rPr>
        <sz val="11"/>
        <color theme="1"/>
        <rFont val="Arial"/>
        <family val="2"/>
      </rPr>
      <t>- Le suivi de la production des semences est assuré par le MINRESI en collaboration avec l’Exécutif communal</t>
    </r>
  </si>
  <si>
    <t>cahiers de charge élaboré</t>
  </si>
  <si>
    <t>-Contrat de partenariat avec la commune</t>
  </si>
  <si>
    <t>Variations  climatiques Collaboration de toutes les parties prenantes</t>
  </si>
  <si>
    <t>Semences améliorées et meilleures races  d’animaux disponibles sur le marché</t>
  </si>
  <si>
    <t>-Disponibilité financière et des sites aprropriés et sécurisés</t>
  </si>
  <si>
    <t>Recruter les personnes ressources pour les formations</t>
  </si>
  <si>
    <t>Préparer et former 20 multiplicateurs de semences</t>
  </si>
  <si>
    <t>Identifier et acquérir les semences de base des spéculations ciblées</t>
  </si>
  <si>
    <t>Collaboration avec les chef des stations de recherche</t>
  </si>
  <si>
    <t>Produire les semences améliorées et les distribuer à des prix compétitifs</t>
  </si>
  <si>
    <r>
      <t>A2R2O1</t>
    </r>
    <r>
      <rPr>
        <sz val="11"/>
        <color theme="1"/>
        <rFont val="Arial"/>
        <family val="2"/>
      </rPr>
      <t>-Envisager le suivi de la</t>
    </r>
  </si>
  <si>
    <t>production des semences par le MINRESI en collaboration avec l’Exécutif communal</t>
  </si>
  <si>
    <t>Elaborer les cahiers de charge</t>
  </si>
  <si>
    <t>Préparer  et tenir les journées portes ouvertes</t>
  </si>
  <si>
    <t>Faire une large diffusion à</t>
  </si>
  <si>
    <t>travers les médias</t>
  </si>
  <si>
    <t>Rendre opérationnels les points de vente</t>
  </si>
  <si>
    <t>Faciliter l’accès aux infrastructures marchandes de qualité dans la commune</t>
  </si>
  <si>
    <t>Un marché fonctionnel à Kouékong,  Kham/Banengo</t>
  </si>
  <si>
    <t>-Sites sécurisés</t>
  </si>
  <si>
    <t>3- Déposer 2 bacs à ordure dans les 9 marchés de la commune.</t>
  </si>
  <si>
    <t>Chaque marché de la commune est équipé de 2 bacs à ordures</t>
  </si>
  <si>
    <t>- Qualité de l’assainissement dans le marché</t>
  </si>
  <si>
    <t>Implication du comité d’hygiène ou du CC</t>
  </si>
  <si>
    <t>09 blocs de latrines construits dans les marchés existants</t>
  </si>
  <si>
    <t>disponibilité du site</t>
  </si>
  <si>
    <t>14 bacs à ordures servent à collecter les ordures dans les marchés de la commune</t>
  </si>
  <si>
    <t>-Qualité de l’assainissement dans le marché</t>
  </si>
  <si>
    <t>Blocs latrines</t>
  </si>
  <si>
    <r>
      <t>A1R1O3</t>
    </r>
    <r>
      <rPr>
        <sz val="11"/>
        <color theme="1"/>
        <rFont val="Arial"/>
        <family val="2"/>
      </rPr>
      <t>- Déposer 18 bacs à ordures dans les 09 marchés</t>
    </r>
  </si>
  <si>
    <r>
      <t>A1R1O4</t>
    </r>
    <r>
      <rPr>
        <sz val="11"/>
        <color theme="1"/>
        <rFont val="Arial"/>
        <family val="2"/>
      </rPr>
      <t>- Construire 09 blocs latrines</t>
    </r>
  </si>
  <si>
    <t>Total MINCOMMERCE</t>
  </si>
  <si>
    <t>Faciliter l’accès aux structures de formation et d’animation de la jeunesse dans la commune</t>
  </si>
  <si>
    <t>1-Améliorer l’encadrement de la jeunesse du territoire communal</t>
  </si>
  <si>
    <t>La Délégation d’arrondissement du MINJEC  fonctionne dans son bâtiment propre</t>
  </si>
  <si>
    <t>PV de réception des travaux</t>
  </si>
  <si>
    <t>02 centres multifonctionnels pour jeune disponibles</t>
  </si>
  <si>
    <t>02 centres de formation et d’animation de la jeunesse en service</t>
  </si>
  <si>
    <t>Site d’implantation des centres</t>
  </si>
  <si>
    <t>Connaitre les domaines de formation des jeunes</t>
  </si>
  <si>
    <t>Le plan stratégique pour la lutte contre la délinquance et le chômage est opérationnel</t>
  </si>
  <si>
    <t>- Plan stratégique pour la lutte contre la délinquance et le chômage</t>
  </si>
  <si>
    <t>Savoir les causes de la délinquance</t>
  </si>
  <si>
    <t>- projets mis en œuvre par les jeunes de la commune</t>
  </si>
  <si>
    <t>Enquête pour préciser les domaines de la formation</t>
  </si>
  <si>
    <t>Montant du fonds d’insertion socioéconomique pour le financement des micros projets des jeunes connus et disponible</t>
  </si>
  <si>
    <t>-Fonds d’insertion socioéconomique</t>
  </si>
  <si>
    <t>Bonne gouvernance dans la gestion</t>
  </si>
  <si>
    <t>Autorisation de création</t>
  </si>
  <si>
    <t>Rédiger et adresser la demande à qui de droit</t>
  </si>
  <si>
    <t>-Disponibilité d’un financement  et du site</t>
  </si>
  <si>
    <t>Recruter des personnes ressources et élaborer le plan de lutte contre la délinquance et le chômage</t>
  </si>
  <si>
    <t>Total MINJEC</t>
  </si>
  <si>
    <t>Faciliter l’accès  aux infrastructures sportives dans la commune</t>
  </si>
  <si>
    <r>
      <t xml:space="preserve">1-Créer et construire 05 aires de jeux fonctionnelles dans la commune prioritairement dans les établissements scolaires </t>
    </r>
    <r>
      <rPr>
        <b/>
        <sz val="11"/>
        <color theme="1"/>
        <rFont val="Arial"/>
        <family val="2"/>
      </rPr>
      <t xml:space="preserve">de </t>
    </r>
    <r>
      <rPr>
        <sz val="11"/>
        <color theme="1"/>
        <rFont val="Arial"/>
        <family val="2"/>
      </rPr>
      <t>Batoukop, Njingha 1,  Banengo Village 3, Tomdjo,et Ndiengdam 2</t>
    </r>
  </si>
  <si>
    <t>05  aires de jeux praticables dans les établissements scolaires</t>
  </si>
  <si>
    <t>Rapports  des  travaux</t>
  </si>
  <si>
    <t>2- Aménager le stade de Ndiengso 2.</t>
  </si>
  <si>
    <t>-Disponibilité des moyens financiers</t>
  </si>
  <si>
    <t>R1O1 : 05 aires de jeux créées  et opérationnelles à Batoukop, Njingha 1, Banengo Village 3, Tomdjo,et Ndiengdam 2</t>
  </si>
  <si>
    <t>05 aires de jeux   praticables</t>
  </si>
  <si>
    <t>Liste  et sites  de création  des aires de jeux</t>
  </si>
  <si>
    <t>01 stade construit et  praticable</t>
  </si>
  <si>
    <r>
      <t xml:space="preserve">A1R1O2 : </t>
    </r>
    <r>
      <rPr>
        <sz val="11"/>
        <color theme="1"/>
        <rFont val="Arial"/>
        <family val="2"/>
      </rPr>
      <t>Adresser une demande d’aménagement du stade de Diengso 2</t>
    </r>
  </si>
  <si>
    <t>Rédiger une demande à qui de droit</t>
  </si>
  <si>
    <t>Total MINSEP</t>
  </si>
  <si>
    <t>Faciliter la création et l’installation des TPE, PE et ME ainsi que leur accès aux sources de financement</t>
  </si>
  <si>
    <t>Archives du MINPMEESA</t>
  </si>
  <si>
    <t>3-Accompagner  les PME faiblement opérationnelles dans leur diagnostic, leur suivi, leur évaluation et leur structuration</t>
  </si>
  <si>
    <t>Liste des forces et faiblesses des PME</t>
  </si>
  <si>
    <t>Liste des participants et date de tenue des ateliers</t>
  </si>
  <si>
    <t>30 séminaires de formation organisés</t>
  </si>
  <si>
    <t>Préparer et tenir les ateliers</t>
  </si>
  <si>
    <t>-Collaboration entre la commune et les sectoriels concernés</t>
  </si>
  <si>
    <t>Etudes de faisabilité technique et environnementale</t>
  </si>
  <si>
    <t>Suivi/ contrôle des travaux</t>
  </si>
  <si>
    <t>Total MINPMEESA/PME</t>
  </si>
  <si>
    <t>1- Sensibiliser  tous les acteurs  de l’économie sociale  de la commune à se regrouper  en association ou groupe d’initiatives  communes</t>
  </si>
  <si>
    <t>20 séances de travail de sensibilisation, d’information et de formation  tenues</t>
  </si>
  <si>
    <t>Rapports des travaux dressés</t>
  </si>
  <si>
    <t>2-Mettre en place des infrastructures de base pour faciliter leur installation</t>
  </si>
  <si>
    <t>-Abris construits</t>
  </si>
  <si>
    <t>3-Accompagner  les acteurs de l’économie sociale à accéder aux financements</t>
  </si>
  <si>
    <t>Dispositif de financement des projets mis sur pied</t>
  </si>
  <si>
    <t>R1O1 - 20 Séances de travail de sensibilisation et de formation au regroupement sont organisées</t>
  </si>
  <si>
    <t>-Disponibilité financière et sites sécurisés</t>
  </si>
  <si>
    <t>Recruter les consultants et tenir les ateliers de formation</t>
  </si>
  <si>
    <t>-Mettre sur pied un dispositif de financement</t>
  </si>
  <si>
    <t>Total MINPMEESA/ECONOMIE SOCIALE</t>
  </si>
  <si>
    <t>Faciliter l’accès des artisans aux informations concernant leurs métiers</t>
  </si>
  <si>
    <t>-30 ateliers de formation tenus</t>
  </si>
  <si>
    <t>-30 séminaires de formation organisés</t>
  </si>
  <si>
    <r>
      <t>A1R1O3</t>
    </r>
    <r>
      <rPr>
        <sz val="11"/>
        <color theme="1"/>
        <rFont val="Arial"/>
        <family val="2"/>
      </rPr>
      <t>- Programmer et réaliser 30</t>
    </r>
  </si>
  <si>
    <t>Total  MINPMEESA/ARTISANAT</t>
  </si>
  <si>
    <t>Faciliter la mise en valeur du potentiel minier existant dans la commune</t>
  </si>
  <si>
    <t>1- Réaliser une étude de faisabilité pour l’aménagement et l’exploitation  de l’ensemble des ressources minières existantes de la commune.</t>
  </si>
  <si>
    <t>Rapport de l’étude de faisabilité</t>
  </si>
  <si>
    <t>2- Mettre en place une plate-forme de collaboration entre le service technique étatique compétant  et la commune.</t>
  </si>
  <si>
    <t>une plate-forme de collaboration entre le service technique étatique compétant et la commune créée</t>
  </si>
  <si>
    <t>3- Réguler la gestion des  05 carrières de pierre, 05 carrières de sable et 05 carrières de latérites  présentes dans la commune.</t>
  </si>
  <si>
    <t>15 carrières fonctionnelles selon la réglementation en vigueur</t>
  </si>
  <si>
    <t>4- Organiser les opérations de collecte des taxes d’exploitation et de transport</t>
  </si>
  <si>
    <t>Archives communales et du MINMIDT</t>
  </si>
  <si>
    <t>Collaboration entre la commune et les secteurs concernés : MINMIDT  et autres</t>
  </si>
  <si>
    <t>Carrières exploitées</t>
  </si>
  <si>
    <t>Incivisme des parties prenantes</t>
  </si>
  <si>
    <t>Une  plate-forme de collaboration opérationnelle</t>
  </si>
  <si>
    <t>Respect des engagements mutuels</t>
  </si>
  <si>
    <t>Recruter une personne ressource et lui confier la mission</t>
  </si>
  <si>
    <t>Collaboration des services techniques impliqués</t>
  </si>
  <si>
    <t>Préparer et tenir la réunion</t>
  </si>
  <si>
    <t>-Collaboration du service technique concerné</t>
  </si>
  <si>
    <t>Recruter des personnes ressources et réaliser les études</t>
  </si>
  <si>
    <t>Réaliser les travaux de viabilisation et de régulation de la gestion des ressources minières</t>
  </si>
  <si>
    <t>Acquisition des engins</t>
  </si>
  <si>
    <t>Total MINMIDT</t>
  </si>
  <si>
    <t>1- Renforcer le signal des réseaux téléphoniques à Batoukop, Kouékong, Tomdjo, Tcho.</t>
  </si>
  <si>
    <t>Les villages sont couverts par les réseaux téléphoniques</t>
  </si>
  <si>
    <t>Utilisation des téléphones dans le village</t>
  </si>
  <si>
    <t>2-Créer et rendre fonctionnel 06 centres multi média dans la commune (Batoukop, Njingha 1, Tcho, Banengo Village 3, Melam 2, Tomdjo).</t>
  </si>
  <si>
    <t>06 centres multimédia qui sont créés et fonctionnent effectivement</t>
  </si>
  <si>
    <t>Disponibilité des machines et accessoires</t>
  </si>
  <si>
    <t>3- Accroître la capacité du débit de connexion à l’internet dans la commune.</t>
  </si>
  <si>
    <t>La qualité de la connexion  à internet renforcé</t>
  </si>
  <si>
    <t>Compréhension des opérateurs</t>
  </si>
  <si>
    <t>-décision de création</t>
  </si>
  <si>
    <t>Signal téléphonique désormais accessible dans tous les villages</t>
  </si>
  <si>
    <t>- Descente sur le terrain</t>
  </si>
  <si>
    <t>Un bureau de poste fonctionnel</t>
  </si>
  <si>
    <t>A2R1O1.2 Extension des réseaux téléphoniques</t>
  </si>
  <si>
    <t>Coût non déterminé</t>
  </si>
  <si>
    <t>La réalisation des études techniques permettra de connaitre les activités à mener</t>
  </si>
  <si>
    <t>Rédiger une demande et déposer à qui de droit</t>
  </si>
  <si>
    <t>Stratégies postales</t>
  </si>
  <si>
    <t>Total MINPOSTEL</t>
  </si>
  <si>
    <t>Faciliter l’accès aux infrastructures adéquates pour le transport inter-village et le transport inter urbain de qualité  dans la commune</t>
  </si>
  <si>
    <t>1-Créer et rendre fonctionnel  02 gares routières dans la commune</t>
  </si>
  <si>
    <t>Les 02 gares routières  créées et opérationnelles</t>
  </si>
  <si>
    <t>Site disponible</t>
  </si>
  <si>
    <t>2- Aménager la gare routière à la sortie de la ville</t>
  </si>
  <si>
    <t>Etat des lieux</t>
  </si>
  <si>
    <t>4-ouvrir un fichier d’identification  des conducteurs et propriétaires  de taxis et mototaxis dans l’espace communale</t>
  </si>
  <si>
    <t>Un fichier  d’identification ouvert, les conducteurs  et propriétaires de moto et taxis enregistrés</t>
  </si>
  <si>
    <t>Moyens humains appropriés</t>
  </si>
  <si>
    <t>R1O1 : 02 gares routières sont créées et fonctionnelles dans la commune</t>
  </si>
  <si>
    <t>02 nouvelles gares routières opérationnelles</t>
  </si>
  <si>
    <t>Liste  et sites d’implantation des gares routières</t>
  </si>
  <si>
    <t>R1O3- 60 % de Conducteurs formés dans</t>
  </si>
  <si>
    <t>l’espace ont chacun un permis de conduire</t>
  </si>
  <si>
    <t>60 % Des conducteurs  formés</t>
  </si>
  <si>
    <t>réellement  sur la conduite défensive</t>
  </si>
  <si>
    <t>Permis de conduire délivré</t>
  </si>
  <si>
    <t>par l’auto-école</t>
  </si>
  <si>
    <t>Liste et fichiers</t>
  </si>
  <si>
    <t>relatifs disponibles</t>
  </si>
  <si>
    <t>R1O4- un fichier d’enregistrement  ouvert</t>
  </si>
  <si>
    <t>dans l’espace communal</t>
  </si>
  <si>
    <t>Un fichier d’identification ouvert et</t>
  </si>
  <si>
    <t>nombre de  conducteurs et propriétaires des motos   et taxis enregistré</t>
  </si>
  <si>
    <t>Récépissé d’enregistrement</t>
  </si>
  <si>
    <t>Se référer aux</t>
  </si>
  <si>
    <t>fichiers prévus à cet effet</t>
  </si>
  <si>
    <t>A1R1O1 : Construire et aménager  02 gares routières dans la commune</t>
  </si>
  <si>
    <t>A1R1O2 : Aménager la gare routière à la sortie de la ville</t>
  </si>
  <si>
    <t>Organisation et exécution des travaux  (Matériaux,  main d’œuvre)</t>
  </si>
  <si>
    <t>Volonté de l’Exécutif communal</t>
  </si>
  <si>
    <t>Total MINTRANSPORT</t>
  </si>
  <si>
    <t>Faciliter l’accès  aux réseaux de télécommunication dans la commune</t>
  </si>
  <si>
    <t>2- Réguler le secteur de la publicité, notamment les affiches, les panneaux et les banderoles.</t>
  </si>
  <si>
    <t>La publicité se fait dans le respect de la règlementation</t>
  </si>
  <si>
    <t>Observation de la qualité des panneaux et autres outils de publicité</t>
  </si>
  <si>
    <t>Renouvellement des agréments des régies de publicité</t>
  </si>
  <si>
    <t>-Incivisme des promoteurs</t>
  </si>
  <si>
    <t>R1O1 : Les systèmes de communication dans la Commune sont plus efficaces</t>
  </si>
  <si>
    <t>Site d’implantation de la radio communautaire</t>
  </si>
  <si>
    <t>R2O1-La qualité di signal de la CRTV est améliorée en zone rurale</t>
  </si>
  <si>
    <t>Observation sur le terrain</t>
  </si>
  <si>
    <t>Volonté des responsables</t>
  </si>
  <si>
    <t>R1O2 : les promoteurs de publicité respectent la réglementation</t>
  </si>
  <si>
    <t>R1O3 : les promoteurs des radios, télévision et journaux respectent les normes en vigueur</t>
  </si>
  <si>
    <t>Incivisme des promoteurs</t>
  </si>
  <si>
    <t>Volonté des responsables Collaboration  avec MINPOSTEL</t>
  </si>
  <si>
    <t>Total MINCOM</t>
  </si>
  <si>
    <t>Faciliter l’accès à certaines infrastructures de l’administration territoriale</t>
  </si>
  <si>
    <t>-05 centres secondaires d’état civil opérationnel</t>
  </si>
  <si>
    <t>-L’arrêté de création  des centres secondaires d’état civil</t>
  </si>
  <si>
    <t>-Désistement des populations</t>
  </si>
  <si>
    <t>2-Réduire l’insécurité au sein des populations de l’espace urbain et au niveau des villages</t>
  </si>
  <si>
    <r>
      <t xml:space="preserve">R1O1 : 05 centres secondaires d’état civil sont fonctionnels  </t>
    </r>
    <r>
      <rPr>
        <b/>
        <sz val="11"/>
        <color theme="1"/>
        <rFont val="Arial"/>
        <family val="2"/>
      </rPr>
      <t xml:space="preserve">à </t>
    </r>
    <r>
      <rPr>
        <sz val="9.5"/>
        <color theme="1"/>
        <rFont val="Arial"/>
        <family val="2"/>
      </rPr>
      <t>Njingha 2, Njingha 1, Batoukop, Tcho, Melam 2,</t>
    </r>
  </si>
  <si>
    <t>05 centres secondaires d’état civil qui fonctionnent</t>
  </si>
  <si>
    <t>02 postes de gendarmerie qui fonctionnent et un logement pour le commandant disponible</t>
  </si>
  <si>
    <t>Matériel roulant disponible</t>
  </si>
  <si>
    <r>
      <t xml:space="preserve">R2O2 : Du petit matériel est distribué aux comités de vigilance de 02 villages à </t>
    </r>
    <r>
      <rPr>
        <sz val="9.5"/>
        <color theme="1"/>
        <rFont val="Arial"/>
        <family val="2"/>
      </rPr>
      <t>Banengo Village 3, Tcho</t>
    </r>
  </si>
  <si>
    <t>Le comité de vigilance de 02 villages fonctionne équipé du petit matériel</t>
  </si>
  <si>
    <t>R3O2 : les propriétaires des débits de boisson et boites de nuit d’Akwa sont sensibilisés sur les mesures d’ordre en zone urbaine</t>
  </si>
  <si>
    <t>Les débits de boissons et les boites de nuits causent moins de troubles à l’ordre public</t>
  </si>
  <si>
    <t>Rédiger des demandes à déposer à qui de droit</t>
  </si>
  <si>
    <t>Sites disponibles</t>
  </si>
  <si>
    <t>Négociation et passation  du marché</t>
  </si>
  <si>
    <t>2  500 000</t>
  </si>
  <si>
    <t>Acquisition du matériel et livraison</t>
  </si>
  <si>
    <t>Bonne gouvernance dans la gestion des acquis</t>
  </si>
  <si>
    <t>Recruter une personne ressource et réaliser les formations</t>
  </si>
  <si>
    <t>Volonté des concernés</t>
  </si>
  <si>
    <t>1-Créer et rendre fonctionnel 01 université dans la commune.</t>
  </si>
  <si>
    <t>Une université créée, construite et  opérationnel</t>
  </si>
  <si>
    <t>R1O1 : 01 université créée et fonctionnel dans la commune</t>
  </si>
  <si>
    <t>01 université  créée, construit et  qui fonctionne effectivement</t>
  </si>
  <si>
    <t>Site d’implantation de l’université (King place)</t>
  </si>
  <si>
    <t>A1R1O1 : Demander la création  d’une université dans la commune.</t>
  </si>
  <si>
    <t>Total MINESUP</t>
  </si>
  <si>
    <t>Construire stockage un magasin de</t>
  </si>
  <si>
    <t>Hypothèse de réalisation</t>
  </si>
  <si>
    <t>1-Améliorer le système opérationnel de la Commune par la construction d’un bâtiment, l’acquisition de deux véhicules et la mise sur pied d’une police municipale</t>
  </si>
  <si>
    <t>2-Améliorer les stratégies d’accroissement des recettes de la Commune</t>
  </si>
  <si>
    <t>3- Doter la commune de 02 engins lourds et 02 camions en vue d’augmenter de 50 % au moins le niveau de prestation de service au sein de l’institution communale et en redynamisant les services de la commune</t>
  </si>
  <si>
    <t>Difficulté à rendre véritablement opérationnelle l’institution communale</t>
  </si>
  <si>
    <t xml:space="preserve">Problème central : </t>
  </si>
  <si>
    <t>01 Véhicule de fonction et 02 véhicules de relais</t>
  </si>
  <si>
    <t>Site sécurisé et finances disponibles</t>
  </si>
  <si>
    <t>Achat et sécurisation d’un site d’au moins 2000 M2</t>
  </si>
  <si>
    <t>Disponibilité du site sécurisé et Disponibilité d’une source de financement</t>
  </si>
  <si>
    <t>S/s-total R201</t>
  </si>
  <si>
    <t>S/s-total R401</t>
  </si>
  <si>
    <t>S/s-total R301</t>
  </si>
  <si>
    <t>Suivi rigoureux du chronogramme des activités</t>
  </si>
  <si>
    <t>Réaliser une cartographie des ressources avec les coordonnées GPS</t>
  </si>
  <si>
    <t>Volonté de l’exécutif Communal</t>
  </si>
  <si>
    <t>Disponibilité d’une source de financement et Disponibilité du site sécurisé</t>
  </si>
  <si>
    <t>Améliorer   durablement les rendements agricoles</t>
  </si>
  <si>
    <t>Difficulté pour les Agriculteurs à obtenir des bons rendements agricoles dans leurs parcelles de production</t>
  </si>
  <si>
    <t>Chapitre:</t>
  </si>
  <si>
    <t>S/s-total R103</t>
  </si>
  <si>
    <t>Sous-total R102</t>
  </si>
  <si>
    <t xml:space="preserve">Chapitre: </t>
  </si>
  <si>
    <t>Institution communale</t>
  </si>
  <si>
    <t xml:space="preserve">Problème : </t>
  </si>
  <si>
    <t>MINADER</t>
  </si>
  <si>
    <t>A2R4O1- Nommer les responsables dans les postes définis dans l’organigramme des services</t>
  </si>
  <si>
    <t>A5R4O1- Organiser chaque fin d’année une réunion bilan des activités de l’institution  communale</t>
  </si>
  <si>
    <t>A4R4O1- Actualiser en début de chaque année le cahier de charges de chaque service au sein de l’institution communale</t>
  </si>
  <si>
    <t>A3R4O1- Organiser les réunions de coordination de service</t>
  </si>
  <si>
    <t>A1R1O2- Organiser quatre assemblées constitutives pour les plates formes Institution Communale et sectoriels et institution communale et opérateurs économiques</t>
  </si>
  <si>
    <t>A1R1O3- acquérir 02 engins lourds et 02 camions bennes de 20 tonnes</t>
  </si>
  <si>
    <t>A1R4O1- Elaborer et adapter l’organigramme des services de la commune</t>
  </si>
  <si>
    <t>A1R3O1-Mettre sur pied une police municipale avec traitement annuel</t>
  </si>
  <si>
    <t>A1R2O1 Doter la commune de 01 Véhicule de fonction et  de 02 véhiculesde relais</t>
  </si>
  <si>
    <t>A4R1O1 Construire et équiper l’hôtel de ville de Bafoussam Ier (Prévoir les rampes pour les handicapés)</t>
  </si>
  <si>
    <t>A3R1O1- Mobiliser les fonds pour la construction du bâtiment de l’hôtel de ville</t>
  </si>
  <si>
    <t>A2R1O1-Faire le plan de construction de l’hôtel de ville</t>
  </si>
  <si>
    <t>A1R1O1- Identifier  et acquérir un site d’au moins 2000 M2pour la construction de l’hôtel de ville de Bafoussam 1er</t>
  </si>
  <si>
    <t>R1O3 engins lourds et 02 camions bennes sont acquis pour assurer les prestations de la commune</t>
  </si>
  <si>
    <t>R3O2-Les services au sein de l’institution communale sont redynamisés et offre une prestation de qualité aux populations de la commune.</t>
  </si>
  <si>
    <t>R2O2-Les recettes communales ont augmenté au moins de 20 %</t>
  </si>
  <si>
    <t>R1O2- Deux plates-formes de concertation sont mises en place et sont opérationnelles au sein de l’institution communale</t>
  </si>
  <si>
    <t>R4O1- Les services de la commune sont redynamisés au regard de l’organigramme</t>
  </si>
  <si>
    <t>R3O1- Un Véhicule de fonction et 02 véhicules de relais  sont disponibles dans la commune</t>
  </si>
  <si>
    <t>R2O1-Une police municipale est opérationnelle</t>
  </si>
  <si>
    <t>R1O1- Un bâtiment approprié est construit et équipé pour abriter les services de la commune</t>
  </si>
  <si>
    <t>Recruter ressources les et personnes organiser des ateliers</t>
  </si>
  <si>
    <t>A1.R2.O2.Organiser et tenir 320 ateliers de formation des populations sur les techniques culturales</t>
  </si>
  <si>
    <t>Recruter les personnes ressources et organiser des ateliers</t>
  </si>
  <si>
    <t>A1 .R1.O3 . Acquérir et distribuer à des prix compétitifs les  intrants  de  qualité  dans  la Commune.</t>
  </si>
  <si>
    <t>Identifier les potentiels fournisseurs d’intrants agricoles de bonne qualité,</t>
  </si>
  <si>
    <t>Difficulté pour les éleveurs à obtenir de bons rendements dans les fermes et à accéder à une infrastructure de qualité pour abattage de bétail dans la commune</t>
  </si>
  <si>
    <t>3- Réhabiliter et équiper l’abattoir existant pour en faire un abattoir moderne dans la commune.</t>
  </si>
  <si>
    <t>L’abattoir existant est réhabilité, modernisé et fonctionnel</t>
  </si>
  <si>
    <t>R1O3 Un abattoir moderne construit et opérationnel dans la commune</t>
  </si>
  <si>
    <t>Un abattoir disponible et opérationnel</t>
  </si>
  <si>
    <t>Etudes de faisabilitéstechnique et environnementale</t>
  </si>
  <si>
    <t>A1R1O3 Réhabiliter et équiper l’abattoir existant  pour en faire un abattoir moderne dans la commune</t>
  </si>
  <si>
    <t>Difficulté d’accès aux soins de santé de qualité et à moindre coût</t>
  </si>
  <si>
    <t>2-Améliorer la qualité des services des CSI</t>
  </si>
  <si>
    <t>Le CSI de Badiembou est mieux opérationnel</t>
  </si>
  <si>
    <t>Arrêté d’affectation de nouvelles personnes</t>
  </si>
  <si>
    <t>4- Améliorer les conditions d’hygiène et de salubrité de la Commune</t>
  </si>
  <si>
    <t>Blocs  de latrines publiques fonctionnelles présents dans dans l’espace urbain communal</t>
  </si>
  <si>
    <t>R1O2 : L’effectif du personnel est amélioré au CSI de Badiembou</t>
  </si>
  <si>
    <t>R1O3 : Les CSI de Badiembou, Tomdjo et de Batoukop sont entourés chacun d’une clôture</t>
  </si>
  <si>
    <t>Les CSI sont moins exposés aux risques d’insécurité</t>
  </si>
  <si>
    <t>R2O3 : Les CSI de Badiembou et de Batoukop sont renforcés en médicaments</t>
  </si>
  <si>
    <t>Les médicaments sont désormais disponibles</t>
  </si>
  <si>
    <t>Liste des médicaments disponibles</t>
  </si>
  <si>
    <t>A2R1O1- Construire et équiper 07 centres de santé intégrés dans la commune.</t>
  </si>
  <si>
    <t>A1R1O2- Solliciter l’affectation du nouveau personnel au CSI de Badiembou</t>
  </si>
  <si>
    <t>Rédiger et déposer à qui de droit une demande d’affectation du personnel A2R1O2</t>
  </si>
  <si>
    <t>A1R2O2 Commander et acheter les médicaments pour les CSI de Batoukop et Badiembou</t>
  </si>
  <si>
    <t>A1R1O3- Construire la clôture du CSI de Badiembou et du CSI de Batoukop</t>
  </si>
  <si>
    <t>Disponibilité des finances et dessites sécurisés</t>
  </si>
  <si>
    <t>Difficulté de déplacement des personnes et des biens dans la Commune</t>
  </si>
  <si>
    <t>3-Réduire les risques d’accidents le long de l’axe lourd en direction de Foumbot</t>
  </si>
  <si>
    <t>R1O1 : -47 km de route sont revêtus en enduit superficiel dans la commune</t>
  </si>
  <si>
    <t>47 km de route  sont revêtus en enduit superficiel  et sont praticables</t>
  </si>
  <si>
    <t>kilométrage des routes revêtues, PV de réception des travaux</t>
  </si>
  <si>
    <t>kilométrage des routes reprofilées, PV de réception</t>
  </si>
  <si>
    <t>R2O1- 67 km de route reprofilées dans la commune</t>
  </si>
  <si>
    <t>R1O2- 69 km de routes  ouvertes dans la commune</t>
  </si>
  <si>
    <t>69 km de route qui sont praticables</t>
  </si>
  <si>
    <t>kilométrage des routes ouvertes, PV de réception des travaux</t>
  </si>
  <si>
    <t>R2O3- les dos d’âne de Tougniet sont réfectionnés</t>
  </si>
  <si>
    <t xml:space="preserve"> PV de réception des travaux</t>
  </si>
  <si>
    <t>R4O3- Les comités de route sont effectivement crées</t>
  </si>
  <si>
    <t>Les comités de route participent à l’entretien des routes</t>
  </si>
  <si>
    <t>Arrêté de création Liste des membres des comités</t>
  </si>
  <si>
    <t>A1R1O1-Effectuer les travaux d’enduit superficiel de  47 km de route dans la commune</t>
  </si>
  <si>
    <t>A3R1O1- Effectuer les travaux de Construction de 40 ouvrages de franchissement en matériaux définitifs dans la commune</t>
  </si>
  <si>
    <t>A2R2O2- Effectuer les travaux de Construction de 43 ouvrages de franchissement dans la commune</t>
  </si>
  <si>
    <t>A1R1O3- Construire 03 dos d’âne sur le long trait de Njingah 2</t>
  </si>
  <si>
    <t>Difficulté d’accès à une éducation de base de qualité dans certains villages de la commune</t>
  </si>
  <si>
    <t>R1O1 : De nouvelles écoles primaires publiques bilingues sont créées et fonctionnelles dans la commune</t>
  </si>
  <si>
    <t>02 écoles primaires publiques bilingues  supplémentaires opérationnelles</t>
  </si>
  <si>
    <t xml:space="preserve"> finances et des sites sécurisésDisponibilité des</t>
  </si>
  <si>
    <t>R1O2 : 81 nouvelles salles de classe construites dans certaines écoles primaires de la commune.</t>
  </si>
  <si>
    <t>81 salles de classes  construites et opérationnelles</t>
  </si>
  <si>
    <t>Liste  des écoles primaires bénéficiaires</t>
  </si>
  <si>
    <t>R2O2 : 12 blocs administratifs construits dans certaines  écoles primaires de la commune</t>
  </si>
  <si>
    <t>12  blocs administratifs  qui sont construits</t>
  </si>
  <si>
    <t>R5O2 : Le sol des salles de classe de l’EP de Houmkam est lissé</t>
  </si>
  <si>
    <t>La qualité du sol des salles de classe est améliorée</t>
  </si>
  <si>
    <t>R10O2 : 15 bacs à ordures fabriqués et posés dans 05 écoles primaires de la commune.</t>
  </si>
  <si>
    <t>05 écoles primaires de la commune dotées des bacs à ordures.</t>
  </si>
  <si>
    <t>R1O3- De nouveaux instituteurs affectés et en service dans certaines écoles primaires de la commune.</t>
  </si>
  <si>
    <t>Efficacité des nouveaux instituteurs par l’Etat et des maîtres communautaires</t>
  </si>
  <si>
    <t>A1R1O1 : Solliciter la création de 02 nouvelles écoles primaires bilingues à Ndiengso1 ; Njinga 2 et  03  maternelles toutes bilingues à Bamendzi 3, Njinga 1 et Famcep dans l’espace communal.</t>
  </si>
  <si>
    <t>A2R1O1- Construire la section anglophone créée dans 5 écoles primaires et  maternelles de Bamendzi 3, Njinga 1, Famcep Ndiengso 1 et Njinga 2</t>
  </si>
  <si>
    <t>A1R2O1 : Solliciter la création d’une section anglophone dans 04 écoles primaires :  EP de Kouékong, EP de Medjo 1,EP de Badiengso, EP de Melam .</t>
  </si>
  <si>
    <t>A2R2O1 : Construire 04  nouvelles écoles maternelles bilingues dans la commune EP de Kouékong, EP de Medjo 1,EP de Badiengso, EP de Melam   Ecole primaire de Tomdjo</t>
  </si>
  <si>
    <t>EP de  Kouékong – EP Lemgoué, EP de Ndemsiem : 02 salles de classe, EP de Tcho - EP Va’ava, EP de Mvoutsa’a : 06 salles de classe, EP de Tomdjo : 04 salles de classe, EP de Melam 2, EP Ndiengso II, EM Kouékong - EM Ndiengso II, EM de Medjo 1 :  1  bâtiment EM Banengo II, EM de  Mvoutsa’a : 1 bâtiment de 2 salles de classe, EM Va’ava , - EM Kouop- fo, Ecole maternelle de Kouopfo (Melam  2) : 2 salles de classe, EM Takogam Bamendzi EM Lemgoué</t>
  </si>
  <si>
    <t>Etudes de faisabilités technique et Venvironnementale</t>
  </si>
  <si>
    <t>A1R2O2-   Construire 12  blocs  administratifs dans certaines écoles de la commune. : EP de Tcho , EP et M de Badiengso (2 blocs), EP de Tcho (3 blocs),EP Bilingue d’application de Djeleng (5 blocs  pour tous les directeurs)</t>
  </si>
  <si>
    <t>A1R5O2- Lisser le sol des salles de classe des écoles don celle  de l’EP de Houmkam</t>
  </si>
  <si>
    <t>EP de Famcep, EP de Houmkam (Ndiengdam 1), EP de Medjo 1 : (3 bâtiments), EP de Djeleng 5</t>
  </si>
  <si>
    <t>A1R7O2 – Construire et équiper une aire de jeu dans 2 écoles maternelles : -Ecole maternelle de Kouopfo (Melam 2) - EP de Tomdjo</t>
  </si>
  <si>
    <t>Suivis/contrôle des travaux / Réception</t>
  </si>
  <si>
    <t>A1R8O2-Construire 08 points d’eau dans 04 écoles primaires de la commune : EP de Famcep ; clandestine, EP de Tcho, EP et M de Bamendzi 3, EP de Banengo 2 :</t>
  </si>
  <si>
    <r>
      <t xml:space="preserve">commune </t>
    </r>
    <r>
      <rPr>
        <b/>
        <sz val="11"/>
        <color theme="1"/>
        <rFont val="Arial"/>
        <family val="2"/>
      </rPr>
      <t xml:space="preserve">: </t>
    </r>
    <r>
      <rPr>
        <sz val="11"/>
        <color theme="1"/>
        <rFont val="Arial"/>
        <family val="2"/>
      </rPr>
      <t>EP de Ndemsiem, EP de Tomdjo, EP de Houkaha, EP et M de Djemoun 1, EP Bilingue d’application de Djeleng , EP de Banengo.</t>
    </r>
  </si>
  <si>
    <r>
      <t xml:space="preserve">A1R11O2-Construire la clôture dans 09 écoles primaires et écoles maternelles de la commune </t>
    </r>
    <r>
      <rPr>
        <b/>
        <sz val="11"/>
        <color theme="1"/>
        <rFont val="Arial"/>
        <family val="2"/>
      </rPr>
      <t xml:space="preserve">: </t>
    </r>
    <r>
      <rPr>
        <sz val="11"/>
        <color theme="1"/>
        <rFont val="Arial"/>
        <family val="2"/>
      </rPr>
      <t>EP de Banefo, EP de Famcep, EP de Houmkam (Ndiengdam   1),   EP   de   Ndemsiem,   EP   et maternelle de Badiengso, EP de Famla, EM de Bamendzi 2, l’école annexe groupe 3(Djeleng 5) EM de Banengo 2.</t>
    </r>
  </si>
  <si>
    <t>A1R1O3-Solliciter l’affectation de nouveaux instituteurs dans les écoles primaires et mater -     EP  et  M de  Kouékong  (6  enseignants)  EP Mva’avamelle de la commune : -    Njingha 1 (EM de Njingha) EM Lemgoué -    EM de Tcho (4 enseignants)  Em Mvoutsa’a -    EM de Medjo 1 (4 enseignants)  EM va’ava EP et maternelle de Badiengso (5 enseignants) -       EP de Njingha (7 enseignants) EP Lemgoué -     EP de Ndemsiem (4 enseignants) EP va’ava -     EP de Tcho (6 enseignants) -     EP de Medjo 1 (2 enseignants) -     EP de Kouopfo (5 enseignants) EP de Tomdjo (8 enseignants)</t>
  </si>
  <si>
    <r>
      <t>A1R2O3</t>
    </r>
    <r>
      <rPr>
        <sz val="11"/>
        <color theme="1"/>
        <rFont val="Arial"/>
        <family val="2"/>
      </rPr>
      <t>- Fabriquer 40 tables et 40 chaises pour enseignant pour 05 écoles primaires : EP de Tcho, EP et M de Badiengso (2 bureaux), EP de Tcho (3 bureaux), EP Bilingue d’application de Djeleng (5 bureaux pour tous les directeurs</t>
    </r>
  </si>
  <si>
    <t>MINESUP</t>
  </si>
  <si>
    <t>Faciliter l’accès  l’enseignement supérieur dans la commune</t>
  </si>
  <si>
    <t>07 foyers communautaires construits et opérationnel</t>
  </si>
  <si>
    <t>1- Construire  07 foyers  communautaires dans la commune de Bafoussam 1er.</t>
  </si>
  <si>
    <t>4- Créer un système d’archivage des données et des documents dans la commune.</t>
  </si>
  <si>
    <t>Les données et autres documents sont mieux archivés</t>
  </si>
  <si>
    <t>R1O2 : Une bibliothèque municipale est construite et exploitée par les populations de la commune</t>
  </si>
  <si>
    <t>R1O4 : Les archives dans la commune sont mieux gardées</t>
  </si>
  <si>
    <t>Disponibilité de toutes les archives</t>
  </si>
  <si>
    <t>Disponibilité des partenaires, des finances et des sites sécurisés</t>
  </si>
  <si>
    <t>A1R1O3- construire le musée royal  de la chefferie Bafoussam</t>
  </si>
  <si>
    <t>MINPROFF</t>
  </si>
  <si>
    <t>3- Equiper la délégation d’arrondissement de la Promotion de la Femme et de la Famille  en matériel informatique et lui offrir des bâtiments propres pour ses services</t>
  </si>
  <si>
    <t>R1O3 : La délégation d’arrondissement de la promotion de femme et de la famille équipées des outils informatiques.</t>
  </si>
  <si>
    <t>Une délégation d’arrondissement fonctionnelle</t>
  </si>
  <si>
    <t>Calendrier des journées de formation</t>
  </si>
  <si>
    <t>R1O4 : 126 ateliers de formation des femmes et de la jeune fille aux petits métiers et à la transformation des produits agricoles réalisés</t>
  </si>
  <si>
    <t>R2O4 : une campagne de sensibilisation de la population est mise en œuvre pour informer la population sur le rôle des femmes</t>
  </si>
  <si>
    <t>R5O4 : Ateliers de renforcement des capacités politiques des femmes organisés</t>
  </si>
  <si>
    <t>A1R1O3- Equiper la délégation d’arrondissement du MINPROFF   dans l’espace communal</t>
  </si>
  <si>
    <t>Négocier et acheter les équipements nécessaires</t>
  </si>
  <si>
    <t>A1R1O4- Préparer et organiser 126 ateliers de formation des femmes et des jeunes filles</t>
  </si>
  <si>
    <t>Recruter les personnes ressources et organiser des ateliers de formation</t>
  </si>
  <si>
    <t>Recruter les personnes ressources et organiser les campagnes</t>
  </si>
  <si>
    <t>A1R2O4. Organiser des campagnes d’information de la population sur le rôle de la femme dans le développement en utilisant tous les supports médiatiques et cinématographiques (radio, communiqué, banderoles, etc)</t>
  </si>
  <si>
    <t>Faciliter la prise en charge des couches vulnérables</t>
  </si>
  <si>
    <t>Identification et repérage des différentes structures</t>
  </si>
  <si>
    <t>Centre d’accueil, orphelinats et structure d’encadrement financés</t>
  </si>
  <si>
    <t>3-Appuyer  financièrement, et matériellement les orphelinats (03), centres d’accueil (05), structure d’encadrement des personnes âgées et des handicapés (03), Association d’encadrement des couches vulnérables, structures pour personnes handicapées (03) de la commune</t>
  </si>
  <si>
    <t>4- Créer un fonds de financement des activités génératrices de revenus mises en place par les associations des couches vulnérables de la Commune.</t>
  </si>
  <si>
    <t>un fonds de financement disponible</t>
  </si>
  <si>
    <t>Rapport d’activitéET Liste des groupes financés</t>
  </si>
  <si>
    <t>Existence d’un compte bancaire où sera logé la disponibilité  financière</t>
  </si>
  <si>
    <t>A1R1- Octroyer des aides et secours chaque année aux couches vulnérables de la commune</t>
  </si>
  <si>
    <t>Identifier les bénéficiaires et leur apporter assistance</t>
  </si>
  <si>
    <t>MINEE / HYDRAULIQUE</t>
  </si>
  <si>
    <t>Etude de faisabilité positive DDMINEE, CDE, Mairie</t>
  </si>
  <si>
    <t>R1-O - 40 nouveaux forages sont fonctionnels dans la commune</t>
  </si>
  <si>
    <t>R2-O2- 07 nouvelles sources sont aménagées dans la commune</t>
  </si>
  <si>
    <t>07 sources qui fonctionnent effectivement</t>
  </si>
  <si>
    <t>R3-O2- 02 nouvelles  bornes  fontaines sont créées sur le réseau de captage d’eau de Ndiembou</t>
  </si>
  <si>
    <t>02 nouvelles  bornes fontaines  sont fonctionnelles  sur le réseau d’eau de Ndiembou</t>
  </si>
  <si>
    <r>
      <rPr>
        <sz val="7"/>
        <color theme="1"/>
        <rFont val="Times New Roman"/>
        <family val="1"/>
      </rPr>
      <t xml:space="preserve"> </t>
    </r>
    <r>
      <rPr>
        <sz val="9.5"/>
        <color theme="1"/>
        <rFont val="Arial"/>
        <family val="2"/>
      </rPr>
      <t>Etudes pour l’extension du réseau de captage de Ndiembou</t>
    </r>
  </si>
  <si>
    <t>R4-O2- 12 puits avec  châteaux sont construits</t>
  </si>
  <si>
    <t>05 bornes fontaines  qui fonctionnent effectivement</t>
  </si>
  <si>
    <t>Une cellule communale  de gestion des eaux est charge du potentiel hydraulique de la commune</t>
  </si>
  <si>
    <r>
      <t>A1R1O1</t>
    </r>
    <r>
      <rPr>
        <sz val="9.5"/>
        <color theme="1"/>
        <rFont val="Arial"/>
        <family val="2"/>
      </rPr>
      <t xml:space="preserve">- </t>
    </r>
    <r>
      <rPr>
        <sz val="11"/>
        <color theme="1"/>
        <rFont val="Arial"/>
        <family val="2"/>
      </rPr>
      <t>Etendre le réseau de distribution de la Camerounaise Des Eaux sur 73 km</t>
    </r>
  </si>
  <si>
    <t>A2R1O1- Etendre le captage d’eau de Ndiembou dans  02 villages</t>
  </si>
  <si>
    <t>A1R1O2- Construire 40 nouveaux forages</t>
  </si>
  <si>
    <r>
      <t>A1R2O3</t>
    </r>
    <r>
      <rPr>
        <sz val="9.5"/>
        <color theme="1"/>
        <rFont val="Arial"/>
        <family val="2"/>
      </rPr>
      <t xml:space="preserve">- </t>
    </r>
    <r>
      <rPr>
        <sz val="11"/>
        <color theme="1"/>
        <rFont val="Arial"/>
        <family val="2"/>
      </rPr>
      <t>Réhabiliter 05 bornes fontaines du réseau de captage d’eau de Ndiembou</t>
    </r>
  </si>
  <si>
    <t>Négociation du marché et Exécution des travaux</t>
  </si>
  <si>
    <t>A1R1O4-  Créer une cellule communale de gestion des eaux</t>
  </si>
  <si>
    <t>Mettre sur pied une cellule opérationnelle</t>
  </si>
  <si>
    <t>Difficulté de Protéger le patrimoine forestier et les arbustes parsemés dans  l’espace communal</t>
  </si>
  <si>
    <t>MINAC</t>
  </si>
  <si>
    <t>Difficulté à valoriser  le potentiel culturel existant dans l’espace communal</t>
  </si>
  <si>
    <t>Difficulté d’accès aux infrastructures d’accompagnement de la jeune fille et  pour les femmes à se voir impliquer véritablement dans les prises de décision pour ce qui concerne les initiatives de développement locale</t>
  </si>
  <si>
    <t>Difficulté de prise en charge des couches vulnérables</t>
  </si>
  <si>
    <t>Problème central</t>
  </si>
  <si>
    <t>Problème central ENERGIE :</t>
  </si>
  <si>
    <t xml:space="preserve"> Difficulté d’accès à l’énergie électrique</t>
  </si>
  <si>
    <t>MINEE - ENERGIE</t>
  </si>
  <si>
    <t>Faciliter l’accès des populations de lacommune de à l’énergie électrique</t>
  </si>
  <si>
    <t>2- Réaliser l’éclairage public dans les villages.de la Commune</t>
  </si>
  <si>
    <t>05 villages bénéficient de l’éclairage public</t>
  </si>
  <si>
    <r>
      <t>R1O1</t>
    </r>
    <r>
      <rPr>
        <sz val="11"/>
        <color theme="1"/>
        <rFont val="Arial"/>
        <family val="2"/>
      </rPr>
      <t>- Le réseau de distribution électrique AES/SONEL est étendu dans la commune</t>
    </r>
  </si>
  <si>
    <r>
      <t>R2O1</t>
    </r>
    <r>
      <rPr>
        <sz val="11"/>
        <color theme="1"/>
        <rFont val="Arial"/>
        <family val="2"/>
      </rPr>
      <t>- des transformateurs électriques puissants sont installés sur le réseau électrique</t>
    </r>
  </si>
  <si>
    <t>R3O1- des transformateurs en panne du réseau électrique sont réhabilités</t>
  </si>
  <si>
    <t>05 nouveaux transformateurs sont remplacés par des plus puissants dans la commune.</t>
  </si>
  <si>
    <t>04 transformateurs en panne sont désormais fonctionnels</t>
  </si>
  <si>
    <t>A1R2O1- Remplacer 05 transformateurs par des transformateurs de 100 KVA au moins : Accroitre la capacité du transformateur  de : Banefo, Famcep, King Place, Ndiangdam  2, et à Banengo village  3 au collège TAMA</t>
  </si>
  <si>
    <t xml:space="preserve">Problème  Central : </t>
  </si>
  <si>
    <t>Difficulté  d’accès à une  éducation de  qualité  dans l’enseignement secondaire</t>
  </si>
  <si>
    <t>3- Réhabiliter les infrastructures au lycée technique de Banengo.</t>
  </si>
  <si>
    <t>R2O1- 07 nouveaux  CETIC créés, construits et opérationnels  dans la commune</t>
  </si>
  <si>
    <t>R1O2- 20 salles de classe sont construites au lycée de Batoukop et au CETIC de Tayim</t>
  </si>
  <si>
    <t>20 nouvelles salles de classe sont construites</t>
  </si>
  <si>
    <t>R1O3 -les infrastructures sont réhabilitées et sont opérationnelles au Lycée technique de Banengo</t>
  </si>
  <si>
    <t>Infrastructures réhabilitéeset opérationnelles</t>
  </si>
  <si>
    <t>A2.R2O1- Construire 07 CETIC dans la commune</t>
  </si>
  <si>
    <t>A1R1O3- Acquérir le nécessaire pour réhabiliter les infrastructures au Lycée technique de Banengo</t>
  </si>
  <si>
    <t>Problème central :</t>
  </si>
  <si>
    <t xml:space="preserve"> Difficulté d’accès à un emploi dans la commune</t>
  </si>
  <si>
    <t>2-Améliorer l’accès des chercheurs d’emploi aux circuits d’informations sur les opportunités  d’emplois</t>
  </si>
  <si>
    <t>R3O1- créer et  construire 02 SAR/SM/CFM fonctionnels à Batoukop et Ndemsiem</t>
  </si>
  <si>
    <t>02 SAR/SM/CFM créées et fonctionnels</t>
  </si>
  <si>
    <t>A1R2O1. Organiser 03 réunions de travail avec les employés (Délégué de personnel ou représentants du personnel) pour leur parler de l’importance de se faire immatriculer à la CNPS</t>
  </si>
  <si>
    <t>Inviter les entreprises à favoriser participation de leur personnel aux réunions 03 réunions de sensibilisation sur la CNPS</t>
  </si>
  <si>
    <t>A1R1O2 : Organiser 3 réunions de travail avec les employeurs pour leur parler des droits des enfants</t>
  </si>
  <si>
    <t>Informer la population sur la notion de mutuelle de sécurité sociale et mettre à sa disposition des extraits des textes légaux en la matière</t>
  </si>
  <si>
    <t>Faire des descentes avec les inspecteurs de travail et une personne ressource recrutée, pour tenir des réunions d’informations sur les droits des enfants</t>
  </si>
  <si>
    <t>Difficulté à mettre en valeur le potentiel touristique existant dans l’espace communal</t>
  </si>
  <si>
    <t>MINTOUL</t>
  </si>
  <si>
    <t>MINEPDED</t>
  </si>
  <si>
    <t>Difficulté d’avoir accès à un environnement sain et sécurisé pour un développement durable de la commune</t>
  </si>
  <si>
    <t>MINDCAF</t>
  </si>
  <si>
    <t>Problème central : D</t>
  </si>
  <si>
    <t>ifficulté à bien gérer le potentiel foncier existant dans l’espace géographique de la commune</t>
  </si>
  <si>
    <t>Difficulté d’accès à une éducation de qualité dans l’enseignement supérieur</t>
  </si>
  <si>
    <t>MINCOM</t>
  </si>
  <si>
    <t>Difficulté d’accès aux infrastructures de communication dans la commune</t>
  </si>
  <si>
    <t>3- Créer et rendre fonctionnel un office communal de tourisme regroupant tous les acteurs impliqués dans la gestion des sites touristiques de la commune.</t>
  </si>
  <si>
    <t>Un office communal de tourisme créé et opérationnel</t>
  </si>
  <si>
    <t>Avis du Délégué Régional et approbation du Ministre (s’inspirer de l’office de Dschang)</t>
  </si>
  <si>
    <t>R1O3- Un office communal de tourisme créé et fonctionnel dans la commune.</t>
  </si>
  <si>
    <t>R1O4- 06 points de ventes d’objets d’art de souvenir crées et fonctionnel dans la commune.</t>
  </si>
  <si>
    <t>06 points de vente des objets d’art de souvenir opérationnel</t>
  </si>
  <si>
    <t>lieu d’implantation des points de vente, dépliant de présentation des points de vente</t>
  </si>
  <si>
    <t>Solliciter un architecte, Ingénieurs et techniciens. Appui technique du MINTOUL</t>
  </si>
  <si>
    <t>A1R2O2- Identifier  et recenser tous les promoteurs des établissements touristiques</t>
  </si>
  <si>
    <t>Etablir un fichier des promoteurs des établissements touristiques</t>
  </si>
  <si>
    <t>A1R3O3 créer l’office communal de tourisme et lui accorder un cadre de travail adéquat (bureau, personnel, textes de fonctionnement…)</t>
  </si>
  <si>
    <t>1 -Sensibiliser les  populations  sur l’importance de la forêt et des méfaits de feux de brousse.</t>
  </si>
  <si>
    <t>Rapports activités de sensibilisation</t>
  </si>
  <si>
    <t>R1O4 : une réserve forestière protégée dans la commune</t>
  </si>
  <si>
    <t>A2R1O3: Aménager l’espace pour le marché de gibier</t>
  </si>
  <si>
    <t>Disponibilité du site sécurisé et des finances</t>
  </si>
  <si>
    <t>A1R1O4 : suivre et contrôler la réserve forestière de Koupfou</t>
  </si>
  <si>
    <t>Mettre sur pied une équipe de suivi et signer les cahiers de charge</t>
  </si>
  <si>
    <t>2-Améliorer la perception des dangers dus aux feux de brousse et à la déforestation</t>
  </si>
  <si>
    <t>L’incivisme des feux de brousse et de la déforestation a considérablement diminué</t>
  </si>
  <si>
    <r>
      <t xml:space="preserve">R1O2- </t>
    </r>
    <r>
      <rPr>
        <sz val="11"/>
        <color theme="1"/>
        <rFont val="Arial"/>
        <family val="2"/>
      </rPr>
      <t>02 campagnes annuelles de lutte contre les feux de brousse et la déforestation sont organisées</t>
    </r>
  </si>
  <si>
    <t>Rapports des formations et Liste des participants</t>
  </si>
  <si>
    <r>
      <t xml:space="preserve">R2O2- </t>
    </r>
    <r>
      <rPr>
        <sz val="11"/>
        <color theme="1"/>
        <rFont val="Arial"/>
        <family val="2"/>
      </rPr>
      <t>Un atelier de formation à l’utilisation des foyers améliorés est organisé</t>
    </r>
  </si>
  <si>
    <r>
      <t>R3O2</t>
    </r>
    <r>
      <rPr>
        <sz val="11"/>
        <color theme="1"/>
        <rFont val="Arial"/>
        <family val="2"/>
      </rPr>
      <t>-  Les foyers améliorés sont de plus en plus acquis et utilisés</t>
    </r>
  </si>
  <si>
    <t>In situ et Rapport de formation</t>
  </si>
  <si>
    <r>
      <t>R1O3</t>
    </r>
    <r>
      <rPr>
        <sz val="11"/>
        <color theme="1"/>
        <rFont val="Arial"/>
        <family val="2"/>
      </rPr>
      <t>- 20 nouveaux points de collecte des ordures sont créés et équipés</t>
    </r>
  </si>
  <si>
    <r>
      <t xml:space="preserve">R2O3- </t>
    </r>
    <r>
      <rPr>
        <sz val="11"/>
        <color theme="1"/>
        <rFont val="Arial"/>
        <family val="2"/>
      </rPr>
      <t>les vieux bacs sont maintenus et 60 nouveaux sont acquis</t>
    </r>
  </si>
  <si>
    <t>In situ et -PV de réception</t>
  </si>
  <si>
    <r>
      <t xml:space="preserve">R3O3-  </t>
    </r>
    <r>
      <rPr>
        <sz val="11"/>
        <color theme="1"/>
        <rFont val="Arial"/>
        <family val="2"/>
      </rPr>
      <t>Les comités d’hygiène de la commune sont équipés en matériel de nettoyage (Brouettes, pelles, gangs, bottes, etc.)</t>
    </r>
  </si>
  <si>
    <r>
      <t>R1O4-</t>
    </r>
    <r>
      <rPr>
        <sz val="11"/>
        <color theme="1"/>
        <rFont val="Arial"/>
        <family val="2"/>
      </rPr>
      <t>03 séances par an pendant 03 ans des réunions du comité départemental de suivi des PGES sont tenues</t>
    </r>
  </si>
  <si>
    <t>Rapports des ateliers et Feuilles de présence</t>
  </si>
  <si>
    <r>
      <t xml:space="preserve">R2O4 </t>
    </r>
    <r>
      <rPr>
        <sz val="11"/>
        <color theme="1"/>
        <rFont val="Arial"/>
        <family val="2"/>
      </rPr>
      <t>Les structures pollueuses ont réalisé leurs notices environnementales</t>
    </r>
  </si>
  <si>
    <r>
      <t>R3O4</t>
    </r>
    <r>
      <rPr>
        <sz val="11"/>
        <color theme="1"/>
        <rFont val="Arial"/>
        <family val="2"/>
      </rPr>
      <t>- Les petites structures polluantes dans la Commune sont fichées</t>
    </r>
  </si>
  <si>
    <r>
      <t>R4O4</t>
    </r>
    <r>
      <rPr>
        <sz val="11"/>
        <color theme="1"/>
        <rFont val="Arial"/>
        <family val="2"/>
      </rPr>
      <t>- Un centre d’épuration et d’incinération des déchets spéciaux Construit</t>
    </r>
  </si>
  <si>
    <t>In situ et PV de réception</t>
  </si>
  <si>
    <t>R5O4- Les données pour la cartographie environnementale sont disponibles la carte environnementale de l’espace communal est confectionnée</t>
  </si>
  <si>
    <r>
      <t>A1R1O1</t>
    </r>
    <r>
      <rPr>
        <sz val="11"/>
        <color theme="1"/>
        <rFont val="Arial"/>
        <family val="2"/>
      </rPr>
      <t>- Organiser et tenir de 04 ateliers annuels de formation et de sensibilisationsur les respects des règles élémentaires d’hygiène et de salubrité</t>
    </r>
  </si>
  <si>
    <t>Diagnostiquer les comités d’hygiène et salubrité existants et élaborer les TDR de formation</t>
  </si>
  <si>
    <t>Réhabiliter, créer et renforcer les capacités des comités d’hygiène et salubrité</t>
  </si>
  <si>
    <t>Recruter une personne ressource, identifier et former les bénéficiaires à l’utilisation des foyers améliorés</t>
  </si>
  <si>
    <t>Mettre sur pied et équiper un point de vente des foyers améliorés</t>
  </si>
  <si>
    <r>
      <t>A1R4O2</t>
    </r>
    <r>
      <rPr>
        <sz val="11"/>
        <color theme="1"/>
        <rFont val="Arial"/>
        <family val="2"/>
      </rPr>
      <t>- acquérir des arbres et en planter 50 000 dans les zones sensibles (zones de fortes pentes ou d’éboulement).</t>
    </r>
  </si>
  <si>
    <r>
      <t>A1R1O3</t>
    </r>
    <r>
      <rPr>
        <sz val="11"/>
        <color theme="1"/>
        <rFont val="Arial"/>
        <family val="2"/>
      </rPr>
      <t>-Créer et équiper de 20 nouveaux points de collecte dans la commune</t>
    </r>
  </si>
  <si>
    <t>Achat et livraison (bacs neufs et renouveler le parc de l’espace communal)</t>
  </si>
  <si>
    <r>
      <t>A1R3O3</t>
    </r>
    <r>
      <rPr>
        <sz val="11"/>
        <color theme="1"/>
        <rFont val="Arial"/>
        <family val="2"/>
      </rPr>
      <t>-équiper en  petit matériel de nettoyage les comités d’hygiène de la commune (Brouettes, pelles, gangs, bottes, etc.)</t>
    </r>
  </si>
  <si>
    <t>Interpeller HYSACAM sur les nuisances environnementales de Banefo</t>
  </si>
  <si>
    <t>Délivrer les attestations de conformité</t>
  </si>
  <si>
    <r>
      <t>A1R1O4</t>
    </r>
    <r>
      <rPr>
        <sz val="11"/>
        <color theme="1"/>
        <rFont val="Arial"/>
        <family val="2"/>
      </rPr>
      <t>-Organiser des réunions du comité départemental de suivi des PGES à raison de 03 séances par an pendant 03 ans</t>
    </r>
  </si>
  <si>
    <t>Inventorier les structures ayant un PGES</t>
  </si>
  <si>
    <t>Collaboration avec le MINFOF</t>
  </si>
  <si>
    <t>Diagnostique les zones sensibles et sensibiliser les populations sur les l’utilisation des pare-feu et la limitation de la déforestation</t>
  </si>
  <si>
    <r>
      <t>A1R1O2</t>
    </r>
    <r>
      <rPr>
        <sz val="11"/>
        <color theme="1"/>
        <rFont val="Arial"/>
        <family val="2"/>
      </rPr>
      <t>-Organiser des campagnes annuelles de lutte contre les feux de brousse et la déforestation</t>
    </r>
  </si>
  <si>
    <t>2- Développer des stratégies d’embellissement de la Commune</t>
  </si>
  <si>
    <t>Un espace vert créé et aménagé dans l’espace urbain de la commune</t>
  </si>
  <si>
    <t>Solliciter l’appui du MINHDU  ou d’un autre spécialiste pour le montage des projets</t>
  </si>
  <si>
    <t>La décision de création de l’espace vert</t>
  </si>
  <si>
    <t>3- Elaborer un plan d’occupation des sols ou le plan sommaire d’urbanisation qui est les sous éléments du PDU. Soit un PSU.</t>
  </si>
  <si>
    <t>Production des documents graphiques et cahiers de charge</t>
  </si>
  <si>
    <t>4- construire des logements sociaux dans la commune.</t>
  </si>
  <si>
    <t>Aux moins 1000 logements sociaux dans la zone de lotissement</t>
  </si>
  <si>
    <t>Disponibilité financière et sites sécurisés</t>
  </si>
  <si>
    <r>
      <t>R2O2</t>
    </r>
    <r>
      <rPr>
        <sz val="11"/>
        <color theme="1"/>
        <rFont val="Arial"/>
        <family val="2"/>
      </rPr>
      <t>- une zone d’aménagement concerté créée dans la commune</t>
    </r>
  </si>
  <si>
    <t>In situ er Archives de la Commune et du MINDUH</t>
  </si>
  <si>
    <r>
      <t xml:space="preserve">R3O2 </t>
    </r>
    <r>
      <rPr>
        <sz val="11"/>
        <color theme="1"/>
        <rFont val="Arial"/>
        <family val="2"/>
      </rPr>
      <t>Un projet d’embellissement de la commune est mis en œuvre</t>
    </r>
  </si>
  <si>
    <r>
      <t xml:space="preserve">R1O4- </t>
    </r>
    <r>
      <rPr>
        <sz val="11"/>
        <color theme="1"/>
        <rFont val="Arial"/>
        <family val="2"/>
      </rPr>
      <t>un espace de 100 logements sociaux est aménagé dans la commune</t>
    </r>
  </si>
  <si>
    <r>
      <t>A1R1O2</t>
    </r>
    <r>
      <rPr>
        <sz val="11"/>
        <color theme="1"/>
        <rFont val="Arial"/>
        <family val="2"/>
      </rPr>
      <t>- créer et aménager  un espace vert</t>
    </r>
  </si>
  <si>
    <r>
      <t xml:space="preserve">A1R1O3- </t>
    </r>
    <r>
      <rPr>
        <sz val="11"/>
        <color theme="1"/>
        <rFont val="Arial"/>
        <family val="2"/>
      </rPr>
      <t>élaboration d’un plan d’occupation de sols ou PSU</t>
    </r>
  </si>
  <si>
    <t>DAO et PPM sociaux dans la commune</t>
  </si>
  <si>
    <t>2- Elaborer la carte foncière de l’espace géographique de la commune.</t>
  </si>
  <si>
    <t>Une carte foncière de l’espace géographique de la commune disponible</t>
  </si>
  <si>
    <r>
      <t xml:space="preserve">R1O2- </t>
    </r>
    <r>
      <rPr>
        <sz val="11"/>
        <color theme="1"/>
        <rFont val="Arial"/>
        <family val="2"/>
      </rPr>
      <t>La carte foncière de l’espace  géographique de la commune est</t>
    </r>
  </si>
  <si>
    <t>La carte foncière de l’espace géographique de la commune de Bafoussam 1er  est  disponible et utilisée</t>
  </si>
  <si>
    <r>
      <t>A1R1O2</t>
    </r>
    <r>
      <rPr>
        <sz val="11"/>
        <color theme="1"/>
        <rFont val="Arial"/>
        <family val="2"/>
      </rPr>
      <t>- Réaliser la carte foncière avec la collaboration des services du MINHDU</t>
    </r>
  </si>
  <si>
    <r>
      <t>A2R1O1</t>
    </r>
    <r>
      <rPr>
        <sz val="11"/>
        <color theme="1"/>
        <rFont val="Arial"/>
        <family val="2"/>
      </rPr>
      <t>. Organiser une campagne médiatique d’informations de la population sur les procédures d’obtention et de l’utilité des titres fonciers (radio, affiches, tracts)</t>
    </r>
  </si>
  <si>
    <t>A1R1O3- Formaliser la plate-forme de concertation Commune-MINDCAF</t>
  </si>
  <si>
    <t>Organiser une rencontre les deux acteurs</t>
  </si>
  <si>
    <t>MINRESI</t>
  </si>
  <si>
    <t>Difficulté pour les producteurs à avoir accès aux semences de bonne qualité et à haut rendement et pour les éleveurs à avoir accès aux  souches animales de bonne race et de bonne productivité</t>
  </si>
  <si>
    <t>Objectif spécifique</t>
  </si>
  <si>
    <t>Correspondances téléphoniques et descentes sur les sites</t>
  </si>
  <si>
    <r>
      <t>R2O1</t>
    </r>
    <r>
      <rPr>
        <sz val="11"/>
        <color theme="1"/>
        <rFont val="Arial"/>
        <family val="2"/>
      </rPr>
      <t>- Des semences améliorées et races d’animaux  améliorées disponibles sur le marché  et accessible aux producteurs.</t>
    </r>
  </si>
  <si>
    <r>
      <t xml:space="preserve">A1R1O1 </t>
    </r>
    <r>
      <rPr>
        <sz val="11"/>
        <color theme="1"/>
        <rFont val="Arial"/>
        <family val="2"/>
      </rPr>
      <t>Identifier  les potentiels multiplicateurs des semences de bonne qualité en fonction de l’espace géographique de la commune par l’Exécutif Communal.</t>
    </r>
  </si>
  <si>
    <t>Etablir la fiche des potentiels multiplicateurs en privilégiant ceux qui ont déjà bénéficié d’une formation en multiplication des semences</t>
  </si>
  <si>
    <t>Collaboration avec les responsables sectoriels concernés</t>
  </si>
  <si>
    <r>
      <t>A2R1O1</t>
    </r>
    <r>
      <rPr>
        <sz val="11"/>
        <color theme="1"/>
        <rFont val="Arial"/>
        <family val="2"/>
      </rPr>
      <t>-former 20 multiplicateurs identifiés par le MINRESI en collaboration avec le MINADER et le MINEPIA.</t>
    </r>
  </si>
  <si>
    <t>Disponibilité financière et choix des semences de base ciblées</t>
  </si>
  <si>
    <r>
      <t>A1R2O1</t>
    </r>
    <r>
      <rPr>
        <sz val="11"/>
        <color theme="1"/>
        <rFont val="Arial"/>
        <family val="2"/>
      </rPr>
      <t>-Mettre  à la disposition des multiplicateurs, des semences de base par le MINRESI</t>
    </r>
  </si>
  <si>
    <r>
      <t>A3R2O1</t>
    </r>
    <r>
      <rPr>
        <sz val="11"/>
        <color theme="1"/>
        <rFont val="Arial"/>
        <family val="2"/>
      </rPr>
      <t>-Organiser 04 journées portes ouvertes pour présenter les bonnes semences aux populations en collaboration avec la commune</t>
    </r>
  </si>
  <si>
    <r>
      <t>A4R2O1</t>
    </r>
    <r>
      <rPr>
        <sz val="11"/>
        <color theme="1"/>
        <rFont val="Arial"/>
        <family val="2"/>
      </rPr>
      <t>-Créer des points de vente des semences améliorées à la commune</t>
    </r>
  </si>
  <si>
    <t>Difficulté d’accès à une infrastructure marchande de qualité</t>
  </si>
  <si>
    <r>
      <t xml:space="preserve">2- </t>
    </r>
    <r>
      <rPr>
        <sz val="11"/>
        <color theme="1"/>
        <rFont val="Arial"/>
        <family val="2"/>
      </rPr>
      <t>Créer  et construire un  marché à : Kouékong,  Kham/Banengo</t>
    </r>
  </si>
  <si>
    <t>4- Construire des latrines au marché de : Tayim, Famcep, Kam, Kouvou, Tougniet, Tchouessem, Ndiendam II et les deux nouveaux marchés.</t>
  </si>
  <si>
    <r>
      <t xml:space="preserve">R1O1 </t>
    </r>
    <r>
      <rPr>
        <sz val="11"/>
        <color theme="1"/>
        <rFont val="Arial"/>
        <family val="2"/>
      </rPr>
      <t>: 07 marchés construits et fonctionnels effectivement dans la commune</t>
    </r>
  </si>
  <si>
    <t>07 marchés construits et fonctionnels</t>
  </si>
  <si>
    <t>les sites d’implantation des marchés</t>
  </si>
  <si>
    <r>
      <t xml:space="preserve">R1O2 </t>
    </r>
    <r>
      <rPr>
        <sz val="11"/>
        <color theme="1"/>
        <rFont val="Arial"/>
        <family val="2"/>
      </rPr>
      <t>: 02 nouveaux marchés créés et construits dans la commune</t>
    </r>
  </si>
  <si>
    <t>02 nouveaux marchés locaux créés, construits et fonctionnels</t>
  </si>
  <si>
    <t>le site d’implantation du marché</t>
  </si>
  <si>
    <r>
      <t xml:space="preserve">R1O3 </t>
    </r>
    <r>
      <rPr>
        <sz val="11"/>
        <color theme="1"/>
        <rFont val="Arial"/>
        <family val="2"/>
      </rPr>
      <t>: 18 bacs à ordures assurent l’assainissement dans les  09 marchés existants dans la commune</t>
    </r>
  </si>
  <si>
    <r>
      <t xml:space="preserve">R1O4 </t>
    </r>
    <r>
      <rPr>
        <sz val="11"/>
        <color theme="1"/>
        <rFont val="Arial"/>
        <family val="2"/>
      </rPr>
      <t>: 09 blocs latrines sont construits dans les marchés existants</t>
    </r>
  </si>
  <si>
    <t>03 postes de gendarmerie qui fonctionnent et un logement pour le commandant disponible</t>
  </si>
  <si>
    <t>R1O2 : Forces de maintien de l’ordre de la Commune équipées en matériel de déplacement et de sécurité</t>
  </si>
  <si>
    <t>Liste des postes de police et site d’implantation des postes de police</t>
  </si>
  <si>
    <t>PV de réception et De visu</t>
  </si>
  <si>
    <t>Liste des postes de gendarmerie et site d’implantation des gendarmeries</t>
  </si>
  <si>
    <t>Archivage communal et liste des officiers d’état civil</t>
  </si>
  <si>
    <t>Disponibilité financière et collaboration avec la Commune</t>
  </si>
  <si>
    <r>
      <t xml:space="preserve">A1R1O1- </t>
    </r>
    <r>
      <rPr>
        <sz val="11"/>
        <color theme="1"/>
        <rFont val="Arial"/>
        <family val="2"/>
      </rPr>
      <t>Demander la création de 05 centres secondaires d’état civil</t>
    </r>
  </si>
  <si>
    <r>
      <t>A2.R1O1</t>
    </r>
    <r>
      <rPr>
        <sz val="11"/>
        <color theme="1"/>
        <rFont val="Arial"/>
        <family val="2"/>
      </rPr>
      <t>-Construire et équiper 05  centres secondaires d’état civil dans la commune à Njingha 2, Njingha 1, Batoukop, Tcho, Melam 2,</t>
    </r>
  </si>
  <si>
    <r>
      <t>A1R2O2</t>
    </r>
    <r>
      <rPr>
        <sz val="11"/>
        <color theme="1"/>
        <rFont val="Arial"/>
        <family val="2"/>
      </rPr>
      <t>- Acquérir et distribuer le petit matériel aux comités de vigilance de 02 villages (2 paires de menottes, 4 matraques, 4 torches, 4 sifflets, 4 clairons, 4 sifflets, 10 manteaux, 10 paires de bottes)</t>
    </r>
  </si>
  <si>
    <r>
      <t xml:space="preserve">A2R2O2- Former </t>
    </r>
    <r>
      <rPr>
        <sz val="11"/>
        <color theme="1"/>
        <rFont val="Arial"/>
        <family val="2"/>
      </rPr>
      <t>des bénéficiaires à l'utilisation du petit matériel de vigilance</t>
    </r>
  </si>
  <si>
    <r>
      <t>A3R2O2</t>
    </r>
    <r>
      <rPr>
        <sz val="11"/>
        <color theme="1"/>
        <rFont val="Arial"/>
        <family val="2"/>
      </rPr>
      <t>- Organiser un atelier de sensibilisation des propriétaires des débits de boisson et boites de nuit d’Akwa sur les mesures d’ordre public</t>
    </r>
  </si>
  <si>
    <t>MINAT</t>
  </si>
  <si>
    <t>Difficulté d’accès à certaines infrastructures de l’administration territoriale</t>
  </si>
  <si>
    <t>1-Rapprocher les services de sécurité des populations sur le territoire communal</t>
  </si>
  <si>
    <t>Total MINAT</t>
  </si>
  <si>
    <t>MINDDVEL</t>
  </si>
  <si>
    <t>Faciliter l’accès à certaines infrastructures de la Décentralisation et du Développement Local</t>
  </si>
  <si>
    <t>Difficulté d’accès à certaines infrastructures de l’administration de la Décentralisation et du Développement Local</t>
  </si>
  <si>
    <t>1-Rapprocher les services d’état civil des populations sur le territoire communal</t>
  </si>
  <si>
    <t>Total MINDDEVEL</t>
  </si>
  <si>
    <t>1-Rendre plus efficace le système de communication dans la Commune</t>
  </si>
  <si>
    <t>3-Développer des stratégies de mise en exécution des résolutions des EGC  (État Généraux de la Communication)</t>
  </si>
  <si>
    <t>A1R1O1- Demander la création d’une radio communautaire dans la commune avec la fréquence</t>
  </si>
  <si>
    <t>Constituer le dossier administratif et technique et rendre opérationnel la radio (Recrutement du personnel technique</t>
  </si>
  <si>
    <r>
      <t>A2R1O1</t>
    </r>
    <r>
      <rPr>
        <sz val="11"/>
        <color theme="1"/>
        <rFont val="Arial"/>
        <family val="2"/>
      </rPr>
      <t>-  Construire la radio communautaire et le rendre opérationnel en l’équipant</t>
    </r>
  </si>
  <si>
    <t>Disponibilité financière et Sites sécurisés</t>
  </si>
  <si>
    <r>
      <t>A3R1O1</t>
    </r>
    <r>
      <rPr>
        <sz val="11"/>
        <color theme="1"/>
        <rFont val="Arial"/>
        <family val="2"/>
      </rPr>
      <t>- Renforcer le signal de la CRTV dans la zone rurale</t>
    </r>
  </si>
  <si>
    <t>Choix concerté et participatif du site d’implantation de la radio</t>
  </si>
  <si>
    <r>
      <t xml:space="preserve">A1R1O3 </t>
    </r>
    <r>
      <rPr>
        <sz val="11"/>
        <color theme="1"/>
        <rFont val="Arial"/>
        <family val="2"/>
      </rPr>
      <t>: Informer le public sur les normes de publicité</t>
    </r>
  </si>
  <si>
    <t>Préparer et diffuser les slights d’information</t>
  </si>
  <si>
    <t>Réunions de sensibilisation avec les régisseurs</t>
  </si>
  <si>
    <r>
      <t xml:space="preserve">A2R1O3 </t>
    </r>
    <r>
      <rPr>
        <sz val="11"/>
        <color theme="1"/>
        <rFont val="Arial"/>
        <family val="2"/>
      </rPr>
      <t>: Informer les promoteurs des média sur les normes en vigueur et veiller à leur application</t>
    </r>
  </si>
  <si>
    <t>Organisation de plusieurs réunions de concertation et de sensibilisation</t>
  </si>
  <si>
    <t>. Réduction de 50% des délais de traitement des dossiers Degré de satisfaction des usagers et des populationsDynamique au sein de l’institution. Célérité dans les traitements des dossiers</t>
  </si>
  <si>
    <t>A2R1O2- Organiser les réunions dans les différentes plates formes de concertation</t>
  </si>
  <si>
    <t>A3R1O2- Identifier  et viabiliser toutes les sources potentielles de richesses répertoriées dans l’espace géographique de la commune</t>
  </si>
  <si>
    <t>A4R1O2- Elaborer et mettre en application un manuel de procédure de gestion des ressources de la commune</t>
  </si>
  <si>
    <t>A5R1O2- Elaborer et mettre en application une politique de gratification des agents de recouvrement des recettes communales</t>
  </si>
  <si>
    <t>Actes de recrutement. Attestation de service</t>
  </si>
  <si>
    <t>Organigramme adapté et opérationnel. -Services pourvus en personnel et fonctionnels</t>
  </si>
  <si>
    <t>Nombre de séances de formations organisées. Nombre d’agriculteurs formés. PV d’ateliers  ou de réunion de formation</t>
  </si>
  <si>
    <t>Nombre de séances de formations organisées. Nombre de personnes présentes. PV d’ateliers  ou de réunion de formation</t>
  </si>
  <si>
    <t>Effectif des plantations traitées. Type de produits phytosanitaires  utilisés</t>
  </si>
  <si>
    <t>Nombre  d’activités  organisées par an. Rapport d’activités</t>
  </si>
  <si>
    <t>Descente sur les sites. Certificat de donation des sites ou titre foncier. PV de réception des chantiers</t>
  </si>
  <si>
    <t>Disponibilité financière. Sites disponibles sécurisés</t>
  </si>
  <si>
    <t>Procès-verbal   de   réception du chantier. Descente sur le terrain. Photos</t>
  </si>
  <si>
    <t>Formalisation de l’octroi du terrain par la population à l’Etat. Obtention des financements</t>
  </si>
  <si>
    <t>Descente sur le site. Certificat  de  donation  du  site ou titre foncier. PV de réception du chantier</t>
  </si>
  <si>
    <t>Disponibilité financière. Site disponible et sécurisé</t>
  </si>
  <si>
    <t>Un bâtiment de l’hôtel de ville construit et opérationnel. Véhicules de fonction et de relais disponibles. Organigramme adapté et opérationnel. Services pourvus en personnel et fonctionnels</t>
  </si>
  <si>
    <t>Visite du bâtiment, PV de réception, Photos, Consultation du site web,Archives de la Commune. Fichier du patrimoine communal. Archives de la commune. Actes de recrutement, Attestation de service</t>
  </si>
  <si>
    <t>Finances disponibles et sites sécurisés19/08/2024. Volonté de l’exécutif Communal</t>
  </si>
  <si>
    <t xml:space="preserve"> Plate-forme de concertation fonctionnelle. Engin lourd et camions acquis et mis en fonction. Recette communale augmenté à au moins 20%. Les tâches sont claires et précises dans chaque service et pour chaque membre du personnel</t>
  </si>
  <si>
    <t>Compte administratif approuvé19/08/2024. Cadre juridique signé par les parties. Dossier d’acquisitio. Présence de l’engin lourd. Prestations effectuées. Rapport des réunions. Organigramme fonctionnel. Fiche de présence. Contrats de recrutement</t>
  </si>
  <si>
    <t>Volonté de l’Exécutif communal. Bonne gouvernance au niveau de l’utilisation de l’engin. Bonne gouvernance au niveau du personnel de recouvrement. Engagement des parties prenantes. Finances disponibles</t>
  </si>
  <si>
    <t>Engin lourd acquis et mis en fonction. Les tâches sont claires et précises dans chaque service et pour chaque membre du personnel</t>
  </si>
  <si>
    <t>Dossier d’acquisition. Présence de l’engin lourd. Prestations effectuées. Contrats de recrutement. Organigramme fonctionnel</t>
  </si>
  <si>
    <t>Finances disponibles. Bonne gouvernance dans l’utilisation de l’engin</t>
  </si>
  <si>
    <t>Exécution des travaux de construction   (Matériaux,   main d’œuvre)</t>
  </si>
  <si>
    <t>Sous total O1R1</t>
  </si>
  <si>
    <t>A2.R2.O1.  Organiser et tenir 10 ateliers de renforcement des capacités  des  cadres du MINADER sur des thèmes spécifiques</t>
  </si>
  <si>
    <t>Sous total O1R2</t>
  </si>
  <si>
    <t>Les décisions administratives de création des CZCSV; -Les rapports d’activités des différents CZCSV19/08/2024. Sites d’implantation des CZCSV. PV de réception</t>
  </si>
  <si>
    <t>Rapport des ateliers de formation. Listes de présence. Programmes développés pendant les ateliers. Procès-verbaux de d’atelier de formation</t>
  </si>
  <si>
    <t>Liste des postes CZCSV. Sites d’implantation des postes CZCSV de Kam et Ndiengso</t>
  </si>
  <si>
    <t>Rapport des ateliers de formation. Listes de présence. Module de formation. Nombre d’éleveurs formés</t>
  </si>
  <si>
    <t>Sites d’implantation. PV de réception</t>
  </si>
  <si>
    <t>La décision de création  des centres de santé intégrée. Rapports d’activité des centres de santé intégrée. PV de réception</t>
  </si>
  <si>
    <t>Liste des CSI. Sites d’implantation des CSI</t>
  </si>
  <si>
    <t>Effectif  du personnel en hausse. Nombre de malades reçus</t>
  </si>
  <si>
    <t>Arrêté d’affectation de nouvelles personnes. Registre des consultations</t>
  </si>
  <si>
    <t>A1R1O4- Construire 20 blocs de latrines publiques dans l’espace urbain communal</t>
  </si>
  <si>
    <t>Sous-total R1O4</t>
  </si>
  <si>
    <t>Disponibilité de financement. Etudes techniques</t>
  </si>
  <si>
    <t>47 km de route d’enduit superficiel. 67 km de route  reprofilées. 40 ouvrages de franchissement construits en matériaux définitifs. 03 barrières de pluies fonctionnelles. 10 comités de route sont créés</t>
  </si>
  <si>
    <t>La décision de revêtir en enduit superficiel les routes, Les rapports d’avancement des travaux, Commune, MINTP. -La décision de reprofilage des routes. La décision de construction de ponts. La décision de construction des barrières de pluies. PV de réception. Arrêté de création des comités de routes</t>
  </si>
  <si>
    <t>69 km de routes ouvertes. 43 ouvrages de franchissement sont opérationnels</t>
  </si>
  <si>
    <t>La décision d’ouverture des routes. Les rapports d’avancement des travaux</t>
  </si>
  <si>
    <t>3 dos d’âne sont présents sur le long trait de Njingah 2. Le dos d’âne à l’entrée de Tougniet est réfectionnés. L’axe lourd en direction de Foumban possède des panneaux de signalisation</t>
  </si>
  <si>
    <t>Sous-total O1R1</t>
  </si>
  <si>
    <t>A2R2O1- Effectuer les travaux de Reprofilage de 67 km de route dans la commune.</t>
  </si>
  <si>
    <t>Sous-total O1R2</t>
  </si>
  <si>
    <t>Sous-total O1R3</t>
  </si>
  <si>
    <t>Sous-total O1R4</t>
  </si>
  <si>
    <t>Sous-total O2R1</t>
  </si>
  <si>
    <t>Sous-total O2R2</t>
  </si>
  <si>
    <t>Sous-total O3R1</t>
  </si>
  <si>
    <t>Sous-total O3R2</t>
  </si>
  <si>
    <t>Sous-total O3R3</t>
  </si>
  <si>
    <t>Sous-total O3R4</t>
  </si>
  <si>
    <t>02 nouvelles écoles primaires publiques bilingues opérationnelles. Une section anglophone est créée dans 04 écoles primaires. 03 nouvelles écoles maternelles bilingues sont opérationnelles.</t>
  </si>
  <si>
    <t>La décision de création  des EP. la liste du personnel affecté. PV de réception. Arrêté ou la décision de création  des écoles</t>
  </si>
  <si>
    <t>Disponibilité fréquente de site. Disponibilité des finances</t>
  </si>
  <si>
    <r>
      <rPr>
        <sz val="7"/>
        <color theme="1"/>
        <rFont val="Times New Roman"/>
        <family val="1"/>
      </rPr>
      <t xml:space="preserve"> </t>
    </r>
    <r>
      <rPr>
        <sz val="11"/>
        <color theme="1"/>
        <rFont val="Arial"/>
        <family val="2"/>
      </rPr>
      <t>PV de réception. Listes des écoles primaires bénéficiaires</t>
    </r>
  </si>
  <si>
    <t>81 salles de classe   construites dans les écoles primaires et maternelles de la commune. 12 blocs administratifs  construits dans certaines écoles de la commune. 240 tables-bancs  disponibles dans les écoles primaires de la commune. 90 tables et  350 chaises disponibles dans certaines écoles maternelles de la commune. 05 écoles de la commune sont équipées en 40 tables et 40 chaises pour enseignant. Le sol des salles de classe de l’EP de Houkam est lissé. La toiture de 04 écoles primaires est réfectionnée. Une aire de jeu est créée dans 02 écoles maternelles de la commune. Les points d’eau construits et fonctionnels dans  04  écoles primaires de la commune. Des latrines construites et fonctionnelles dans 05 écoles primaires de la commune. -03 bacs à ordures posés dans 05 écoles primaires de la commune. Une clôture construite dans 09 écoles primaires de la commune. Un logement est construit dans 02 écoles primaires</t>
  </si>
  <si>
    <t>Effectifs des instituteurs améliorés. Confort de travail acquis. Note d’affectation. Note de prise de service. 05 écoles de la commune sont équipées en 40 tables et 40 chaises pour enseignant. Un logement d’astreinte est construit dans 02 écoles primaires</t>
  </si>
  <si>
    <t>Listes des écoles primaires bénéficiaires. La liste du personnel affecté. PV de réception</t>
  </si>
  <si>
    <t>Liste  des écoles primaires bénéficiaires. Bon de commande et de réception</t>
  </si>
  <si>
    <t>Liste  des écoles primaires bénéficiaires. PV de réception</t>
  </si>
  <si>
    <t>PV de réception.  Photos</t>
  </si>
  <si>
    <t>Liste  des écoles primaires.  Site d’implantation des écoles primaires</t>
  </si>
  <si>
    <t>Liste  des écoles maternelles. Site d’implantation des écoles</t>
  </si>
  <si>
    <t>R8O2 : 08 points d’eau construits dans 04 écoles primaires.</t>
  </si>
  <si>
    <t>04 écoles primaires de la commune dotées de 02 points d’eau chacun</t>
  </si>
  <si>
    <t>PV de réception. Listes des écoles primaires bénéficiaires</t>
  </si>
  <si>
    <t>De nouveaux instituteurs affectés et en service dans les écoles. Note d’affectation. Note de prise de service. 05 écoles de la commune sont équipées en 40 tables et 40 chaises pour enseignant. Un logement d’astreinte est construit dans 02 écoles primaires</t>
  </si>
  <si>
    <t>Liste des instituteurs affectés dans les EP. Liste  des écoles bénéficiaires. Note d’affectation. Note de prise de service</t>
  </si>
  <si>
    <t>Rapports  des travaux de construction. PV  de réception</t>
  </si>
  <si>
    <t>Rapports des travaux. PV réception des travaux. Liste des livres disponibles dans la bibliothèque</t>
  </si>
  <si>
    <t>Musée de la Chefferie Supérieure Bafoussam construit. Amélioration de l’état de l’entretien des objets dans la galerie. Réviviscence  du monument Wanko. Les acteurs qui sont effectivement organisés</t>
  </si>
  <si>
    <t>Rapport des   travaux. Répertoire des objets présents au musée. Descente sur le terrain. Rapport des travaux-Liste et adresses des acteurs. Rapports du système de l’organisation des acteurs selon les  secteurs</t>
  </si>
  <si>
    <t>Descente sur le terrain. Liste des archives conservées</t>
  </si>
  <si>
    <t>S/s-total R3O3</t>
  </si>
  <si>
    <t>Décision de la création. Décision d’ouverture. Procès-verbal  de réception</t>
  </si>
  <si>
    <t>La délégation d’arrondissement équipée. Un bâtiment construit pour la délégation  d’arrondissement du MINPROFF</t>
  </si>
  <si>
    <t>126 ateliers de formation des femmes et de la jeune fille qui sont réellement organisés. La population est informée sur le rôle des femmes dans le développement. Le nombre de mariage collectif organisé à la commune et gratuitement. Extraits de textes élaborés et diffusés. 34 ateliers de renforcement des capacités politiques des femmes</t>
  </si>
  <si>
    <t>Rapports des journées de sensibilisation. Contenu des discussions. Fiches de décharge</t>
  </si>
  <si>
    <t>Disponibilité des finances. Capacité des bénéficiaires. Volonté de l’Exécutif communal</t>
  </si>
  <si>
    <t>Rapport des activités; Programmes développés</t>
  </si>
  <si>
    <t>Réduction de la marginalisation des femmes</t>
  </si>
  <si>
    <t>A1R3O4 : Faire la campagne d’information sur les mariages collectifs</t>
  </si>
  <si>
    <t>S/s total 5</t>
  </si>
  <si>
    <t>Rapports d’activité des structures d’encadrement des couches vulnérables. Répertoire de tous les centres disponible au niveau de la Mairie. Liste des récipiendaires</t>
  </si>
  <si>
    <t>Registre de caisse; Relevé de Compte</t>
  </si>
  <si>
    <t>Nature des aides  et secours octroyés. Liste des récipiendaires</t>
  </si>
  <si>
    <t>Le réseau d’eau CDE qui est effectivement  étendu sur 73 Km dans la commune. Le réseau de captage de Ndiembou qui est effectivement étendu dans 02 autres villages</t>
  </si>
  <si>
    <t>Décisions d’extension de réseau de distribution d’eau. Accord entre la commune e et la CDE. Rapport  de la CDE. Liste des abonnés. Etudes pour l’extension du réseau de captage de Ndiembou. Rapport de réalisation des travaux. Liste des abonnées. -   Données géoréférentielles</t>
  </si>
  <si>
    <t>40 nouveaux  forages  qui fonctionnent effectivement  dans la commune. 07 sources sont aménagées  dans la commune. 02 nouvelles  bornes  fontaines sont créées sur le réseau d’eau de Ndiembou. 12 puits avec  châteaux sont construits</t>
  </si>
  <si>
    <t>Etude de faisabilité positive. Disponibilité  des finances et des sites sécurisés</t>
  </si>
  <si>
    <t>Rapport  des études. Décision de construction des forages. PV de réception. Etudes pour l’extension du réseau de captage de Ndiembou. Rapport  de réalisation des travaux. Liste des abonnées. Données  géo-référentielles. Rapport  des études. Décision de construction des puits avec  châteaux</t>
  </si>
  <si>
    <t>11 nouveaux  forages  qui fonctionnent effectivement. 05 bornes fontaines  en panne sont réhabilitées  dont 04 sur le réseau d’eau de Ndiembou. Un groupe électrogène est fonctionnel  à la station de captage de Ndiembou</t>
  </si>
  <si>
    <t>Rapport  des études. V de réception. Reçu de paiement  du groupe</t>
  </si>
  <si>
    <t>Etude de faisabilité  positive. Diagnostics Caractéristiques du groupe électrogène</t>
  </si>
  <si>
    <t>Descente sur le terrain. Site d’implantation des bornes fontaines. Liste des forages</t>
  </si>
  <si>
    <t>Descente sur le terrain. Site d’implantation  des puits. Etudes de faisabilité</t>
  </si>
  <si>
    <t>Descente sur le terrain. Site d’implantation  des bornes  fontaines. Liste des forages</t>
  </si>
  <si>
    <r>
      <t>Le réseau AES/SONEL qui est étendu sur 155 km dans la commune de Bafoussam 1</t>
    </r>
    <r>
      <rPr>
        <sz val="6.5"/>
        <color theme="1"/>
        <rFont val="Arial"/>
        <family val="2"/>
      </rPr>
      <t>er. 05 transformateurs qui sont remplacés par de plus. 04 transformateurs en panne sont réhabilités puissants</t>
    </r>
  </si>
  <si>
    <t>Convention AES - SONEL/ Mairie. Rapport d’avancement des travaux d’extension du réseau électrique. Facture d’achats. Rapport d’activités d’AES/SONEL. Site d’implantation</t>
  </si>
  <si>
    <t>08 nouveaux CES construits et opérationnels dans la commune d’ici 2035. 07 nouveaux  CETIC construits et opérationnels dans la commune d’ici 2035</t>
  </si>
  <si>
    <t>Le décret de création  des CES et des CETIC. Les décrets d’ouverture,.PV de réception</t>
  </si>
  <si>
    <t>20 nouvelles salles de classe sont  construites au lycée de Batoukop et au CETIC de Tayim. 600  tables-bancs neufs au lycée de Batoukop et au CETIC de Tayim. 4 points d’eau construits au lycée de Batoukop</t>
  </si>
  <si>
    <t>Liste des   CES. Sites d’implantation des CES</t>
  </si>
  <si>
    <t>Liste des   CES. Sites d’implantation des CETIC</t>
  </si>
  <si>
    <t>PV de réception. Listes des établissements bénéficiaires. Sites d’implantation</t>
  </si>
  <si>
    <t>03 centres de formation professionnelle fonctionnels. 02 SAR/SM/CFM fonctionnels à Batoukop et Ndemsiem. Base de données sur les thématiques de formation disponible</t>
  </si>
  <si>
    <t>Disponibilité des sites et financements. Organiser des séminaires en vue de favoriser l’emploi local</t>
  </si>
  <si>
    <t>La décision de création des SAR/SM/CFM. La décision de création des centres de formation professionnelle. Rapports d’activité des centres de formation. PV de réception. Liste des apprenants du centre. Rapport de formation</t>
  </si>
  <si>
    <t>Nombre de personnes auto-employées. Les informations sur les opportunités d’emploi sont accessibles aux chercheurs d’emploi</t>
  </si>
  <si>
    <t>Plan de communication sur les opportunités d’emploi. -Enquête auprès des personnes auto- employées</t>
  </si>
  <si>
    <t>Appel aux différents médias ou diversification des moyens de communication. Vulgariser l’accès à l’information sur les projets et financements</t>
  </si>
  <si>
    <t>Liste des centres de formation professionnelle. PV de réception des travaux</t>
  </si>
  <si>
    <t>Montant disponible et connu. Les programmes de financement des projets existants</t>
  </si>
  <si>
    <t>A1R2O1- Organiser un atelier pédagogique sur l’élaboration d’un référentiel de formation professionnelle</t>
  </si>
  <si>
    <t>Recruter une personne ressource pour la formation</t>
  </si>
  <si>
    <t>Elaborer et éditer des manuels sur la  base des besoins recueillis en collaboration avec les partenaires</t>
  </si>
  <si>
    <t>A2R2O1-créer 02 SAR/SM/CFM. Fonctionnels à Batoukop et Ndemsiem</t>
  </si>
  <si>
    <t>A1R3O1- Construire  les 02 SAR/SM/CFM créées à Batoukop et Ndemsiem</t>
  </si>
  <si>
    <t>Recruter une personne ressource pour la formation. Diffuser largement les programmes de financement des projets existants</t>
  </si>
  <si>
    <t>A3R2O2- Mettre en place une base de données actualisée sur les opportunités d’emploi dans la commune</t>
  </si>
  <si>
    <t>Recruter une personne ressource et rechercher les fonds pour la réalisation d’un inventaire des opportunités sur l’emploi local</t>
  </si>
  <si>
    <t>A4.R2O2- organiser par an 2 sessions de formations en lien avec les opportunités d’emplois à l’intention des jeunes chercheurs d’emploi</t>
  </si>
  <si>
    <t>Mettre sur pied les modules adéquats de formation, recruter une personne ressource et rechercher les fonds pour les formations</t>
  </si>
  <si>
    <t>MINTSS</t>
  </si>
  <si>
    <t>Difficulté pour les populations à avoir accès à une couverture de sécurité sociale</t>
  </si>
  <si>
    <t>Relevés. Rapports de contrôle des inspecteurs du travail</t>
  </si>
  <si>
    <t>Les populations adhèrent aux mutuelles de sécurité sociale. Mutuelles  effectivement créées</t>
  </si>
  <si>
    <t>Fiche de paie. Répertoire des employés affiliés à la CNPS</t>
  </si>
  <si>
    <t>R1O2 : les enfants ne sont plus exploités dans les fermes et les chantiers</t>
  </si>
  <si>
    <t>Taux  des enfants employés dans les fermes et chantiers réduits</t>
  </si>
  <si>
    <t>Les chercheurs d’emploi ont de la compétence pour accéder à l’emploi au niveau local. Les programmes de financement des projets existants sont largement diffusés. Nombre de personnes auto- employées</t>
  </si>
  <si>
    <t>La décision d’aménagement des sites touristiques. PV de réception</t>
  </si>
  <si>
    <t>Plans d’aménagement des sites. Associer les riverains</t>
  </si>
  <si>
    <t>Les textes de fonctionnement de l’office. La décision de création de l’office communal de tourisme,- le plan d’action de l’office</t>
  </si>
  <si>
    <t>La décision de création. Le répertoire des objets vendus</t>
  </si>
  <si>
    <t>Lieu d’implantation des sites touristiques. Programme d’ouverture des sites touristiques</t>
  </si>
  <si>
    <t>Rapport d’activité de l’office.  Dépliant d’information et de présentation de l’office.</t>
  </si>
  <si>
    <t>Nombre de participants. Nombre d’ateliers</t>
  </si>
  <si>
    <t>Rapports des formations. Liste des participants</t>
  </si>
  <si>
    <t>In situ. -Rapport de plantation de chaque année</t>
  </si>
  <si>
    <t>Nombre de structures polluantes identifiées. 500 certificats de conformité sont délivrés</t>
  </si>
  <si>
    <r>
      <t>A1R2O2</t>
    </r>
    <r>
      <rPr>
        <sz val="11"/>
        <color theme="1"/>
        <rFont val="Arial"/>
        <family val="2"/>
      </rPr>
      <t xml:space="preserve">-Organiser un  atelier de formation à l’utilisation des foyers améliorés </t>
    </r>
  </si>
  <si>
    <t>A1R3O2-Appuyer  l’acquisition des foyers améliorés</t>
  </si>
  <si>
    <t>Sous-total R1O1</t>
  </si>
  <si>
    <t>Sous-total R1O2</t>
  </si>
  <si>
    <t>Sous-total R4O2</t>
  </si>
  <si>
    <t>Sous-total R3O2</t>
  </si>
  <si>
    <t>S/s-total R2O4</t>
  </si>
  <si>
    <t>S/s-total R1O4</t>
  </si>
  <si>
    <r>
      <t>A1R2O3</t>
    </r>
    <r>
      <rPr>
        <sz val="11"/>
        <color theme="1"/>
        <rFont val="Arial"/>
        <family val="2"/>
      </rPr>
      <t>-Organiser la maintenance de vieux bacs et acquérir 60 nouveaux</t>
    </r>
  </si>
  <si>
    <r>
      <t>A1R2O4</t>
    </r>
    <r>
      <rPr>
        <sz val="11"/>
        <color theme="1"/>
        <rFont val="Arial"/>
        <family val="2"/>
      </rPr>
      <t>-Réaliser des notices environnementales et délivrer 500 certificats de conformité</t>
    </r>
  </si>
  <si>
    <r>
      <t>A1R3O4</t>
    </r>
    <r>
      <rPr>
        <sz val="11"/>
        <color theme="1"/>
        <rFont val="Arial"/>
        <family val="2"/>
      </rPr>
      <t>Organiser des descentes sur le terrain et identifier les petites structures polluantes dans la Commune</t>
    </r>
  </si>
  <si>
    <r>
      <t>A1R4O4</t>
    </r>
    <r>
      <rPr>
        <sz val="11"/>
        <color theme="1"/>
        <rFont val="Arial"/>
        <family val="2"/>
      </rPr>
      <t>-Construire un centre d’épuration et d’incinération des déchets spéciaux</t>
    </r>
  </si>
  <si>
    <t>S/s-total R3O4</t>
  </si>
  <si>
    <t>S/s-total R4O4</t>
  </si>
  <si>
    <r>
      <t>A1R5O4</t>
    </r>
    <r>
      <rPr>
        <sz val="11"/>
        <color theme="1"/>
        <rFont val="Arial"/>
        <family val="2"/>
      </rPr>
      <t>- Collecter des données sur le terrain en vue de la cartographie environnementale</t>
    </r>
  </si>
  <si>
    <r>
      <t>A2R5O4</t>
    </r>
    <r>
      <rPr>
        <sz val="11"/>
        <color theme="1"/>
        <rFont val="Arial"/>
        <family val="2"/>
      </rPr>
      <t>-Confectionner la carte environnementale de l’espace communal</t>
    </r>
  </si>
  <si>
    <t>S/s-total R5O4</t>
  </si>
  <si>
    <t>Procès-verbal des ateliers. Rapport des ateliers. Listes de présence. Modules  développés pendant les ateliers</t>
  </si>
  <si>
    <t>Création d’une sous commission responsable de l’élaboration des modules à développer  pendant les ateliers. Conception de petits outils illustrés présentant le confort que procure l’acquisition du titre foncier</t>
  </si>
  <si>
    <t>Arrêté Préfectoral de prescription. Procès-verbal d’enquête public d’aménagement. Publicité du plan approuvé par affichage ou par presse</t>
  </si>
  <si>
    <t>Estimer les besoins réels des unités de quartier. -Consulter le PDU existant</t>
  </si>
  <si>
    <t>Visite des bâtiments et Pv de réception des travaux. Pv d’attribution des logements aux bénéficiaires</t>
  </si>
  <si>
    <t>Site d’implantation. PV de réception des travaux et programme d’entretien</t>
  </si>
  <si>
    <t>Procès-verbal des ateliers. Rapport des ateliers.  Listes de présence. Affiches, tracts</t>
  </si>
  <si>
    <t>Textes de base qui régissent le fonctionnement de la plate-forme; La décision de création  de la plate- forme</t>
  </si>
  <si>
    <t>Procès-verbaux des ateliers. Affiches. Messages téléphoniques</t>
  </si>
  <si>
    <t>Textes de fonctionnement. Les rapports des activités réalisées dans le cadre de  la plateforme</t>
  </si>
  <si>
    <t>Cahier de charge de l’IRAD. Contrat de partenariat avec la commune.</t>
  </si>
  <si>
    <t>Décision de création. PV de réception</t>
  </si>
  <si>
    <t>Sites sécurisés. Disponibilité financière</t>
  </si>
  <si>
    <r>
      <t xml:space="preserve">A1R1O1- </t>
    </r>
    <r>
      <rPr>
        <sz val="11"/>
        <color theme="1"/>
        <rFont val="Arial"/>
        <family val="2"/>
      </rPr>
      <t>Construire 07 marchés existants dans la commune</t>
    </r>
  </si>
  <si>
    <t>Sites sécurisés. Disponibilité d’une source de financement</t>
  </si>
  <si>
    <t>Disponibilité financière. Engagement des comités d’hygiène marchés</t>
  </si>
  <si>
    <t xml:space="preserve"> Difficulté d’accès aux structures de formation et d’encadrement de la jeunesse</t>
  </si>
  <si>
    <t>MINSEP</t>
  </si>
  <si>
    <t>Difficulté d’accès à aux infrastructures sportives</t>
  </si>
  <si>
    <t>MINPMEESA</t>
  </si>
  <si>
    <t>Difficulté pour les potentiels promoteurs à créer et installer les TPE, PE et ME opérationnels et à accéder aux sources de financement</t>
  </si>
  <si>
    <t>Economie sociale</t>
  </si>
  <si>
    <t>Difficulté d’accès des acteurs de l’économie sociale  aux biens  et  services et aux sources de financements</t>
  </si>
  <si>
    <t>Artisanat</t>
  </si>
  <si>
    <t>Difficulté d’accès des artisans  aux informations appropriées concernant les métiers artisanaux</t>
  </si>
  <si>
    <t>MINMIDT</t>
  </si>
  <si>
    <t>Difficulté pour l’institution communale à mettre en valeur le potentiel minier et industriel existant</t>
  </si>
  <si>
    <t>MINPOSTEL</t>
  </si>
  <si>
    <t>Difficulté d’accès aux réseaux téléphoniques de qualité (Orange, MTN, CAMTEL), aux réseaux audiovisuel et au réseau internet à haut débit  dans la commune</t>
  </si>
  <si>
    <t>MINTRANSPORT</t>
  </si>
  <si>
    <t>Difficulté  d’accès aux infrastructures adéquates pour le  transport inter- village et intra-urbain de qualité</t>
  </si>
  <si>
    <t>S/s-total R2O1</t>
  </si>
  <si>
    <t>Total MIRESI</t>
  </si>
  <si>
    <t>S/s-total R101</t>
  </si>
  <si>
    <t>Objectif spécifiques</t>
  </si>
  <si>
    <r>
      <t>A1R1O2</t>
    </r>
    <r>
      <rPr>
        <sz val="11"/>
        <color theme="1"/>
        <rFont val="Arial"/>
        <family val="2"/>
      </rPr>
      <t>- Créer et construire 02 nouveaux marchés à Kouékong, Kham</t>
    </r>
    <r>
      <rPr>
        <b/>
        <sz val="11"/>
        <color theme="1"/>
        <rFont val="Arial"/>
        <family val="2"/>
      </rPr>
      <t>/</t>
    </r>
    <r>
      <rPr>
        <sz val="11"/>
        <color theme="1"/>
        <rFont val="Arial"/>
        <family val="2"/>
      </rPr>
      <t>Banengo</t>
    </r>
  </si>
  <si>
    <t>Sous-total R11O4</t>
  </si>
  <si>
    <t>Délégation d’arrondissement du MINJEC  construite. 02 Centres de formation et d’animation  présents dans l’espace urbain. Un plan stratégique pour la lutte contre la délinquance et le chômage disponible</t>
  </si>
  <si>
    <t>PV de réception. Photos du site.La décision de construction  du centre multifonctionnel. liste des personnes qui fréquentent le centre.La décision de création des centres</t>
  </si>
  <si>
    <t>Disponibilité des finances et des sites sécurisés ( sécurisation et indemnisation). Rapports d’activité des centres. Les programmes développés dans les centres</t>
  </si>
  <si>
    <t>2-Promouvoir l’épanouissement de la jeunesse du territoire communal</t>
  </si>
  <si>
    <t>20 ateliers de renforcement des capacités des membres des organisations et associations de la jeunesse organisés. Un fonds d’insertion socioéconomique pour le financement des micros projets des jeunes de la commune disponible</t>
  </si>
  <si>
    <t>La décision d’organisation des ateliers de renforcement des capacités des jeunes. Rapport des ateliers. Listes de présence. Modules  développés pendant les ateliers. Décision de création du fonds</t>
  </si>
  <si>
    <t>Disponibilité financière.L’immaturité des jeunes. Projets mal montés</t>
  </si>
  <si>
    <r>
      <t xml:space="preserve">R1O1 </t>
    </r>
    <r>
      <rPr>
        <sz val="11"/>
        <color theme="1"/>
        <rFont val="Arial"/>
        <family val="2"/>
      </rPr>
      <t>: la Délégation d’arrondissement du MINJEC est construite</t>
    </r>
  </si>
  <si>
    <t>Sites sécurisés.Disponibilité  de financement</t>
  </si>
  <si>
    <r>
      <t xml:space="preserve">R2O1 </t>
    </r>
    <r>
      <rPr>
        <sz val="11"/>
        <color theme="1"/>
        <rFont val="Arial"/>
        <family val="2"/>
      </rPr>
      <t>: 02 Centres multifonctionnels pour jeunes sont créés et fonctionnels</t>
    </r>
  </si>
  <si>
    <t>Sites sécurisés. Disponibilité de financement</t>
  </si>
  <si>
    <t>liste des centres de formation et d’animation des jeunes</t>
  </si>
  <si>
    <r>
      <t>R3O1</t>
    </r>
    <r>
      <rPr>
        <sz val="11"/>
        <color theme="1"/>
        <rFont val="Arial"/>
        <family val="2"/>
      </rPr>
      <t>- 02 centres de formation et d’animation de la jeunesse sont crées et fonctionnels</t>
    </r>
  </si>
  <si>
    <r>
      <t>R4O1</t>
    </r>
    <r>
      <rPr>
        <sz val="11"/>
        <color theme="1"/>
        <rFont val="Arial"/>
        <family val="2"/>
      </rPr>
      <t>- 01 plan stratégique pour la lutte contre la délinquance et le chômage est élaboré et appliqué</t>
    </r>
  </si>
  <si>
    <r>
      <t>R1O2</t>
    </r>
    <r>
      <rPr>
        <sz val="11"/>
        <color theme="1"/>
        <rFont val="Arial"/>
        <family val="2"/>
      </rPr>
      <t>- 20 ateliers de renforcement de capacité des membres des organisations et associations de la jeunesse regroupées autour du CNJC organisés</t>
    </r>
  </si>
  <si>
    <r>
      <t>R2O2</t>
    </r>
    <r>
      <rPr>
        <sz val="11"/>
        <color theme="1"/>
        <rFont val="Arial"/>
        <family val="2"/>
      </rPr>
      <t>- Un fonds d’insertion socioéconomique pour le financement des micros projets des jeunes de la commune disponible</t>
    </r>
  </si>
  <si>
    <t>50% des membres des associations et organisation de la jeunesse ont reçu la formation - 20 ateliers de formation réalisés</t>
  </si>
  <si>
    <r>
      <t>A1R1O1</t>
    </r>
    <r>
      <rPr>
        <sz val="11"/>
        <color theme="1"/>
        <rFont val="Arial"/>
        <family val="2"/>
      </rPr>
      <t>- Demander la construction de la Délégation d’arrondissement du MINJEC</t>
    </r>
  </si>
  <si>
    <r>
      <t>A2R1O1</t>
    </r>
    <r>
      <rPr>
        <sz val="11"/>
        <color theme="1"/>
        <rFont val="Arial"/>
        <family val="2"/>
      </rPr>
      <t>- implanter et construire la Délégation d’arrondissement du MINJEC</t>
    </r>
  </si>
  <si>
    <t>Disponibilité d’une source de financement. Disponibilité du site sécurisé</t>
  </si>
  <si>
    <r>
      <t xml:space="preserve">A1R2O1 </t>
    </r>
    <r>
      <rPr>
        <sz val="11"/>
        <color theme="1"/>
        <rFont val="Arial"/>
        <family val="2"/>
      </rPr>
      <t>Demander la construction du centre multifonctionnel de promotion des jeunes</t>
    </r>
  </si>
  <si>
    <t>A2.R2O1- implanter, construire et équiper le centre multifonctionnel  de promotion des jeunes</t>
  </si>
  <si>
    <r>
      <t xml:space="preserve">A1R3.O1 </t>
    </r>
    <r>
      <rPr>
        <sz val="11"/>
        <color theme="1"/>
        <rFont val="Arial"/>
        <family val="2"/>
      </rPr>
      <t>Demander la création de 02 centres de formation et d’animation de la jeunesse</t>
    </r>
  </si>
  <si>
    <r>
      <t xml:space="preserve">A1R3O1 </t>
    </r>
    <r>
      <rPr>
        <sz val="11"/>
        <color theme="1"/>
        <rFont val="Arial"/>
        <family val="2"/>
      </rPr>
      <t>Implanter, construire et équiper 02 centres de formation et d’animation de la jeunesse</t>
    </r>
  </si>
  <si>
    <t>S/s-total R3O1</t>
  </si>
  <si>
    <r>
      <t>A1R4O1</t>
    </r>
    <r>
      <rPr>
        <sz val="11"/>
        <color theme="1"/>
        <rFont val="Arial"/>
        <family val="2"/>
      </rPr>
      <t>. - Concevoir, rédiger et exécuter un plan stratégique pour la lutte contre la délinquance et le chômage</t>
    </r>
  </si>
  <si>
    <t>S/s-total R4O1</t>
  </si>
  <si>
    <t>Préparation d’un plaidoyer et rechercher les partenaires</t>
  </si>
  <si>
    <t>Préparer et tenir les ateliers de renforcement de capacité</t>
  </si>
  <si>
    <r>
      <t>A1R1O2.</t>
    </r>
    <r>
      <rPr>
        <sz val="11"/>
        <color theme="1"/>
        <rFont val="Arial"/>
        <family val="2"/>
      </rPr>
      <t>- Organiser et tenir 20 ateliers de renforcement des capacités des membres des organisations et associations de la jeunesse</t>
    </r>
  </si>
  <si>
    <t>S/s-total R2O2</t>
  </si>
  <si>
    <t>Existence du site pour créer. Sécurisation du site. Indemnisation</t>
  </si>
  <si>
    <r>
      <t>A1R2O2</t>
    </r>
    <r>
      <rPr>
        <sz val="11"/>
        <color theme="1"/>
        <rFont val="Arial"/>
        <family val="2"/>
      </rPr>
      <t>- Sensibiliser et informer l’Exécutif communal pour la constitution d’un fonds d’insertion socioéconomique pour le financement des micros projets des jeunes</t>
    </r>
  </si>
  <si>
    <t>un stade construit et  praticable à Ndiengso 2</t>
  </si>
  <si>
    <t>Volonté de l’Exécutif communal. -Disponibilité financière</t>
  </si>
  <si>
    <t>Rapports des travaux. PV de réception des travaux</t>
  </si>
  <si>
    <t>Existence du. site Sécurisation du site. -Disponibilité des moyens financiers</t>
  </si>
  <si>
    <t>Sites sécurisés. -Disponibilité d’une source de financement</t>
  </si>
  <si>
    <t>R1O2 : un stade construit et opérationnel à Ndiengso 2</t>
  </si>
  <si>
    <t>Site de construction du stade</t>
  </si>
  <si>
    <t>A1R1O1 : Adresser une demande de création de 05 aires de jeux aux autorités compétentes</t>
  </si>
  <si>
    <t>Rédiger et transmettre une demande à qui de droit</t>
  </si>
  <si>
    <t>A2R1O1 : Implanter et construire 05 aires de jeux à Batoukop, Njingha 1,  Banengo Village 3, Tomdjo,et Ndiengdam 2</t>
  </si>
  <si>
    <r>
      <t xml:space="preserve">A2R1O2 </t>
    </r>
    <r>
      <rPr>
        <sz val="11"/>
        <color theme="1"/>
        <rFont val="Arial"/>
        <family val="2"/>
      </rPr>
      <t>: Réaliser les travaux d’aménagement et de construction du stade de Diengso 2</t>
    </r>
  </si>
  <si>
    <t>1-sensibiliser et accompagner les porteurs de projets sur les stratégies de création des TPE, PE et ME sources de financement</t>
  </si>
  <si>
    <t>30 Séances  de travail de sensibilisation et de  formation tenues</t>
  </si>
  <si>
    <t>Rapports des travaux de sensibilisation et de formation</t>
  </si>
  <si>
    <t>2-Mettre en place des stratégies et des infrastructures de base pour faciliter l’installation des TPE, PE et ME ainsi que l’accès aux financements</t>
  </si>
  <si>
    <t>Procédures améliorées -Liste des bailleurs de fonds</t>
  </si>
  <si>
    <t>De visu. Archives du MINPMEESA</t>
  </si>
  <si>
    <t>Disponibilité  financière. -Réticence des bénéficiaires</t>
  </si>
  <si>
    <r>
      <t xml:space="preserve">R1O1 </t>
    </r>
    <r>
      <rPr>
        <sz val="11"/>
        <color theme="1"/>
        <rFont val="Arial"/>
        <family val="2"/>
      </rPr>
      <t>- 30 Séances  de travail de sensibilisation et de  formation des promoteurs organisées sur les TPE, PE et ME  et sur les sources de financements</t>
    </r>
  </si>
  <si>
    <t>30 séances organisées. Procédures de création des entreprises en 72 heures</t>
  </si>
  <si>
    <t>Disponibilité des moyens financiers. Volonté politique</t>
  </si>
  <si>
    <r>
      <t>R1O2</t>
    </r>
    <r>
      <rPr>
        <sz val="11"/>
        <color theme="1"/>
        <rFont val="Arial"/>
        <family val="2"/>
      </rPr>
      <t>-Espaces réservés à chaque type de PME localisés et aménagés</t>
    </r>
  </si>
  <si>
    <t>Espaces aménagés pour chaque type de PME</t>
  </si>
  <si>
    <r>
      <t>R1O3</t>
    </r>
    <r>
      <rPr>
        <sz val="11"/>
        <color theme="1"/>
        <rFont val="Arial"/>
        <family val="2"/>
      </rPr>
      <t>-30 séminaires de formation sont réalisés</t>
    </r>
  </si>
  <si>
    <r>
      <t>A1R1O1</t>
    </r>
    <r>
      <rPr>
        <sz val="11"/>
        <color theme="1"/>
        <rFont val="Arial"/>
        <family val="2"/>
      </rPr>
      <t>- Programmer et réaliser 30 ateliers relatifs à l’accompagnement des porteurs de projets sur les stratégies de création des TPE, PE et ME et des sources de financement</t>
    </r>
  </si>
  <si>
    <t>Disponibilité des moyens financiers. Collaboration entre la commune et les sectoriels concernés</t>
  </si>
  <si>
    <r>
      <t>A1R1O2-</t>
    </r>
    <r>
      <rPr>
        <sz val="11"/>
        <color theme="1"/>
        <rFont val="Arial"/>
        <family val="2"/>
      </rPr>
      <t>Acquérir, aménager et sécuriser des espaces réservés à chaque type de PME</t>
    </r>
  </si>
  <si>
    <r>
      <t>A1R1O3</t>
    </r>
    <r>
      <rPr>
        <sz val="11"/>
        <color theme="1"/>
        <rFont val="Arial"/>
        <family val="2"/>
      </rPr>
      <t>- Programmer et réaliser 30 ateliers de formation</t>
    </r>
  </si>
  <si>
    <t>Disponibilité des moyens financiers. -Collaboration entre la commune et les sectoriels concernés</t>
  </si>
  <si>
    <t>Sous-total R1O3</t>
  </si>
  <si>
    <t>Faciliter l’accès des acteurs de l’économie sociale  aux biens et services et aux sources de financement</t>
  </si>
  <si>
    <t>De visu. Archives du MINPMEESA PV de réception</t>
  </si>
  <si>
    <t>Disponibilité financière. -Sites sécurisés</t>
  </si>
  <si>
    <t>Volonté de l’Institution Communale. -Collaboration avec les services compétents du MINPMEESA</t>
  </si>
  <si>
    <t>20 séances organisées. Répertoire des acteurs établis. -Coopératives, artisanats, mutuelles mis sur pied</t>
  </si>
  <si>
    <t>Archives du MINPMEESA. - Archives de la Commune</t>
  </si>
  <si>
    <t>Disponibilité des moyens financiers. -Volonté politique et des bénéficiaires</t>
  </si>
  <si>
    <t>Espaces aménagés pour chaque type d’acteurs de l’économie sociale. -Nombre de poste d’emplois</t>
  </si>
  <si>
    <r>
      <t>R1O2</t>
    </r>
    <r>
      <rPr>
        <sz val="11"/>
        <color theme="1"/>
        <rFont val="Arial"/>
        <family val="2"/>
      </rPr>
      <t>-Espaces réservés à chaque type d’acteurs de l’économie sociale localisés et aménagés créés</t>
    </r>
  </si>
  <si>
    <t>20 séminaires de formation organisés. Dispositif de financement mis sur pied</t>
  </si>
  <si>
    <r>
      <t>R1O3</t>
    </r>
    <r>
      <rPr>
        <sz val="11"/>
        <color theme="1"/>
        <rFont val="Arial"/>
        <family val="2"/>
      </rPr>
      <t>-20 Séances  de travail de sensibilisation et de  formation des acteurs organisées sur le montage des projets et l’accès aux sources de financements</t>
    </r>
  </si>
  <si>
    <t>Disponibilité financière. -Volonté de l’Exécutif communal</t>
  </si>
  <si>
    <r>
      <t>A1R1O1</t>
    </r>
    <r>
      <rPr>
        <sz val="11"/>
        <color theme="1"/>
        <rFont val="Arial"/>
        <family val="2"/>
      </rPr>
      <t>- Programmer et réaliser 20 ateliers de sensibilisation et de  formation au regroupement</t>
    </r>
  </si>
  <si>
    <t>Disponibilité des moyens financiers -Collaboration entre la commune et les sectoriels concernés</t>
  </si>
  <si>
    <r>
      <t>A1R1O2</t>
    </r>
    <r>
      <rPr>
        <sz val="11"/>
        <color theme="1"/>
        <rFont val="Arial"/>
        <family val="2"/>
      </rPr>
      <t>-Acquérir, aménager et sécuriser des espaces réservés à chaque type d’acteurs de l’économie sociale</t>
    </r>
  </si>
  <si>
    <r>
      <t>A1R1O3</t>
    </r>
    <r>
      <rPr>
        <sz val="11"/>
        <color theme="1"/>
        <rFont val="Arial"/>
        <family val="2"/>
      </rPr>
      <t>- Programmer et réaliser 20 ateliers de formation</t>
    </r>
  </si>
  <si>
    <t>Disponibilité des moyens financiers; -Collaboration entre la commune et les sectoriels concernés</t>
  </si>
  <si>
    <t>Petites et Moyennes Entreprises</t>
  </si>
  <si>
    <t>1-Sensibiliser et informer les artisans sur les métiers artisanaux existants</t>
  </si>
  <si>
    <t>Rapports des travaux dressés. -Archives du MINPMEESA et de la Commune</t>
  </si>
  <si>
    <t>Réticence des bénéficiaires. Disponibilité financière</t>
  </si>
  <si>
    <t>2-Former les artisans dans les filières artisanales identifiées</t>
  </si>
  <si>
    <t>20 séances de travail de sensibilisation, d’information et d’inventaire des métiers artisanaux tenues. -30 ateliers de formation tenus</t>
  </si>
  <si>
    <t>Liste des filières artisanales identifiées. -30 ateliers de formation tenus</t>
  </si>
  <si>
    <t>3- Former les artisans et les accompagner dans la transformation des produits locaux de consommation de masse</t>
  </si>
  <si>
    <t>Liste des produits locaux de consommation de masse. -30 ateliers de formation tenus</t>
  </si>
  <si>
    <r>
      <t xml:space="preserve">R1O1 </t>
    </r>
    <r>
      <rPr>
        <sz val="11"/>
        <color theme="1"/>
        <rFont val="Arial"/>
        <family val="2"/>
      </rPr>
      <t>- 20 séances de travail de sensibilisation, d’information et d’inventaire des métiers artisanaux sont tenues</t>
    </r>
  </si>
  <si>
    <t>20 séances organisées. - Répertoire des métiers artisanaux</t>
  </si>
  <si>
    <r>
      <t>R1O2</t>
    </r>
    <r>
      <rPr>
        <sz val="11"/>
        <color theme="1"/>
        <rFont val="Arial"/>
        <family val="2"/>
      </rPr>
      <t>- 30 ateliers de formation tenus sur la base des filières artisanales identifiées</t>
    </r>
  </si>
  <si>
    <r>
      <t xml:space="preserve">R1O3 </t>
    </r>
    <r>
      <rPr>
        <sz val="11"/>
        <color theme="1"/>
        <rFont val="Arial"/>
        <family val="2"/>
      </rPr>
      <t>-30 Séances  de formation des artisans sur la transformation des produits locaux de consommation de masse sont tenues</t>
    </r>
  </si>
  <si>
    <r>
      <t>A1R1O1</t>
    </r>
    <r>
      <rPr>
        <sz val="11"/>
        <color theme="1"/>
        <rFont val="Arial"/>
        <family val="2"/>
      </rPr>
      <t>- Programmer et réaliser 20 séances de travail de sensibilisation, d’information et d’inventaire  des métiers artisanaux</t>
    </r>
  </si>
  <si>
    <r>
      <t xml:space="preserve">A1R1O2- </t>
    </r>
    <r>
      <rPr>
        <sz val="11"/>
        <color theme="1"/>
        <rFont val="Arial"/>
        <family val="2"/>
      </rPr>
      <t>Programmer et réaliser 30 ateliers de formation sur les filières artisanales identifiées</t>
    </r>
  </si>
  <si>
    <t>Economie Sociale</t>
  </si>
  <si>
    <t>Statut. -Règlement intérieur. - texte de fonctionnement de la plate-forme</t>
  </si>
  <si>
    <t>In situ. -Documents précisant  et réglementant  le  mode de gestion</t>
  </si>
  <si>
    <t>lettres de voiture délivrées. -Assiette fiscale communale améliorée</t>
  </si>
  <si>
    <r>
      <t xml:space="preserve">R1O1 </t>
    </r>
    <r>
      <rPr>
        <sz val="11"/>
        <color theme="1"/>
        <rFont val="Arial"/>
        <family val="2"/>
      </rPr>
      <t>: Une étude de faisabilité pour l’aménagement et l’exploitation  de l’ensemble des ressources minières existantes dans la commune réalisée</t>
    </r>
  </si>
  <si>
    <t>Rapport de l’étude de faisabilité. -documents disponibles</t>
  </si>
  <si>
    <r>
      <t xml:space="preserve">R1O2 - </t>
    </r>
    <r>
      <rPr>
        <sz val="11"/>
        <color theme="1"/>
        <rFont val="Arial"/>
        <family val="2"/>
      </rPr>
      <t>Une plate-forme de collaboration entre le service technique étatique compétent et la commune est créée et opérationnelle</t>
    </r>
  </si>
  <si>
    <t>Nombre de carrières exploitées</t>
  </si>
  <si>
    <t>Liste des carrières exploitées. -Sites d’exploitation</t>
  </si>
  <si>
    <r>
      <t>R1O3</t>
    </r>
    <r>
      <rPr>
        <sz val="11"/>
        <color theme="1"/>
        <rFont val="Arial"/>
        <family val="2"/>
      </rPr>
      <t>-   La   gestion des 15 carrières minières régulée : Dans les carrières de pierre de Batoukop, Famcep, Medjo 2, Tcho, Njingha 2, Mvoutsa’a. Dans les carrières de sable à : Kouékong, Banefo, Tcho, Mvoutsa’a, Tomdjo. Dans les carrières de latérites à : Famcep, Ndiandam 1, Melam 1</t>
    </r>
  </si>
  <si>
    <r>
      <t>R1O4</t>
    </r>
    <r>
      <rPr>
        <sz val="11"/>
        <color theme="1"/>
        <rFont val="Arial"/>
        <family val="2"/>
      </rPr>
      <t>- Les opérations de collecte des taxes d’exploitation et de transport sont effectives dans la commune.</t>
    </r>
  </si>
  <si>
    <t>Assiette fiscale communale améliorée</t>
  </si>
  <si>
    <t>Collaboration entre la commune et les secteurs concernés</t>
  </si>
  <si>
    <t>De visu au regard de l’harmonie dans la collaboration. -Rapport  de la plate- forme de collaboration, jours de rencontre connus</t>
  </si>
  <si>
    <r>
      <t>A1R1O1</t>
    </r>
    <r>
      <rPr>
        <sz val="11"/>
        <color theme="1"/>
        <rFont val="Arial"/>
        <family val="2"/>
      </rPr>
      <t>- Réaliser  une étude de faisabilité pour l’exploitation  de l’ensemble des carrières existantes  dans la commune</t>
    </r>
  </si>
  <si>
    <r>
      <t>A1R1O2</t>
    </r>
    <r>
      <rPr>
        <sz val="11"/>
        <color theme="1"/>
        <rFont val="Arial"/>
        <family val="2"/>
      </rPr>
      <t>- Organiser une réunion de concertation avec le service des domaines et affaires foncières, service étatique compétent pour adopter les textes de fonctionnement de la plate-forme de collaboration avec la Commune</t>
    </r>
  </si>
  <si>
    <r>
      <t>A1R1O3</t>
    </r>
    <r>
      <rPr>
        <sz val="11"/>
        <color theme="1"/>
        <rFont val="Arial"/>
        <family val="2"/>
      </rPr>
      <t>-  Rendre  viables   les  mines  et réguler la gestion des ressources minières de la commune. Dans les carrières de pierre de Batoukop, Famcep, Medjo 2, Tcho, Njingha 2, Mvoutsa’a. Dans les carrières de sable à : Kouékong, Banefo, Tcho, Mvoutsa’a, Tomdjo Dans les carrières de latérites à : Famcep, Ndiandam 1, Melam 1</t>
    </r>
  </si>
  <si>
    <r>
      <t xml:space="preserve">A1R1O4-  </t>
    </r>
    <r>
      <rPr>
        <sz val="11"/>
        <color theme="1"/>
        <rFont val="Arial"/>
        <family val="2"/>
      </rPr>
      <t>acquérir du matériel permettant l’exploitation et le transport (pelle- chargeuse et 02camions bennes)</t>
    </r>
  </si>
  <si>
    <r>
      <t>A2R1O4</t>
    </r>
    <r>
      <rPr>
        <sz val="11"/>
        <color theme="1"/>
        <rFont val="Arial"/>
        <family val="2"/>
      </rPr>
      <t>- Aménager 2 points de dépôt et de vente des produits de carrière</t>
    </r>
  </si>
  <si>
    <r>
      <t xml:space="preserve">A3R1O4 </t>
    </r>
    <r>
      <rPr>
        <sz val="11"/>
        <color theme="1"/>
        <rFont val="Arial"/>
        <family val="2"/>
      </rPr>
      <t>Une équipe de collecte des taxes d’exploitation et de transport est formée dans la commune</t>
    </r>
  </si>
  <si>
    <t>Aptitudes et attitudes des bénéficiaires</t>
  </si>
  <si>
    <t>Actes de création. -sites sécurisés</t>
  </si>
  <si>
    <t>Internet  accessible. -Réseau  fluide</t>
  </si>
  <si>
    <t>Un bureau de poste  construit et fonctionnel.</t>
  </si>
  <si>
    <t>Actes de création. -Sites sécurisés</t>
  </si>
  <si>
    <t>4- Créer un bureau de poste à Medjo2</t>
  </si>
  <si>
    <r>
      <t xml:space="preserve">R1O1 </t>
    </r>
    <r>
      <rPr>
        <sz val="11"/>
        <color theme="1"/>
        <rFont val="Arial"/>
        <family val="2"/>
      </rPr>
      <t>: les villages sont couverts par les réseaux téléphoniques</t>
    </r>
  </si>
  <si>
    <r>
      <t xml:space="preserve">R1O2 </t>
    </r>
    <r>
      <rPr>
        <sz val="11"/>
        <color theme="1"/>
        <rFont val="Arial"/>
        <family val="2"/>
      </rPr>
      <t>: 06 centres multimédia fonctionnels et signal internet renforcé dans la commune.</t>
    </r>
  </si>
  <si>
    <t>06 centres multimédia opérationnels. -Signal internet renforcé et connexion à internet fluide et rapide. -Equipes de maintenance et de sécurité mises sur pied</t>
  </si>
  <si>
    <t>Sites pour la création des centres multimédia. -Connexion à internet fluide et rapide. -présence des centres multimédias</t>
  </si>
  <si>
    <t>Disponibilité financière. -Sites sécurisés. -Collaboration avec vietel pour la construction des pylônes</t>
  </si>
  <si>
    <r>
      <t>R1O3</t>
    </r>
    <r>
      <rPr>
        <sz val="11"/>
        <color theme="1"/>
        <rFont val="Arial"/>
        <family val="2"/>
      </rPr>
      <t>-Un bureau de poste construit et opérationnel à Medjo 1.</t>
    </r>
  </si>
  <si>
    <r>
      <t xml:space="preserve">A1R1O1 </t>
    </r>
    <r>
      <rPr>
        <sz val="11"/>
        <color theme="1"/>
        <rFont val="Arial"/>
        <family val="2"/>
      </rPr>
      <t>: Demander l’extension des réseaux téléphoniques  dans les villages dépourvus</t>
    </r>
  </si>
  <si>
    <r>
      <t>A1R1O2</t>
    </r>
    <r>
      <rPr>
        <sz val="11"/>
        <color theme="1"/>
        <rFont val="Arial"/>
        <family val="2"/>
      </rPr>
      <t>- Construire et équiper 06 centres multimédia avec accès internet tout en renforçant le signal de la commune</t>
    </r>
  </si>
  <si>
    <r>
      <t xml:space="preserve">A1R1O3. </t>
    </r>
    <r>
      <rPr>
        <sz val="11"/>
        <color theme="1"/>
        <rFont val="Arial"/>
        <family val="2"/>
      </rPr>
      <t>1- Solliciter la création d’un bureau de poste à Medjo 2</t>
    </r>
  </si>
  <si>
    <r>
      <t>A2R1O3</t>
    </r>
    <r>
      <rPr>
        <sz val="11"/>
        <color theme="1"/>
        <rFont val="Arial"/>
        <family val="2"/>
      </rPr>
      <t>. 2- Construire le bureau de poste</t>
    </r>
  </si>
  <si>
    <t>Rapports des activités des gares routières. -PV de réception</t>
  </si>
  <si>
    <t>Ordre et harmonie à la gare routière Civisme des usagers</t>
  </si>
  <si>
    <t>3- former les  conducteurs de moto sur la conduite défensive dans l’espace communale</t>
  </si>
  <si>
    <t>Nombre  de conducteurs de moto taxi  formés sur la conduite défensive. -Nombre de permis délivrés</t>
  </si>
  <si>
    <t>Permis de conduire  délivré. par l’auto- école. -Liste des personnes formées</t>
  </si>
  <si>
    <t>Autoécoles habilitées à cette formation</t>
  </si>
  <si>
    <t>Récépissé d’enregistrement. -Fichier d’identification</t>
  </si>
  <si>
    <t>Disponibilité d’une source de financement. -Disponibilité du site sécurisé</t>
  </si>
  <si>
    <t>R1O2- La gare routière de la sortie de la ville est moins congestionnée</t>
  </si>
  <si>
    <t>Etat de sécurité dans la gare routière</t>
  </si>
  <si>
    <t>Implantation des postes de. police sur ces lieux</t>
  </si>
  <si>
    <t>A1R1O3- Formation et renforcement des capacités de 150 conducteurs de moto et taxis</t>
  </si>
  <si>
    <t>Identifier tous les propriétaires des motos taxi, recenser les bénéficiaires de la formation et établir un fichier au niveau de la commune. Recruter  une personne ressource et assurer les formations</t>
  </si>
  <si>
    <t>Informations suivies depuis la fréquence de la radio communautaire. -Observation de la qualité de la chaine sur les postes téléviseurs</t>
  </si>
  <si>
    <t>Impliquer la chefferie dans le choix du site et des orientations de la radio. -Passer du système analogique au système numérique</t>
  </si>
  <si>
    <t>Une radio communautaire fonctionnelle - Qualité du signal. -On est passé du système analogique au système numérique. La qualité du signal de La CRTV est améliorée en zone rurale. -  Amélioration de la qualité des outils de publicité. -  Durée des affiches et des banderoles</t>
  </si>
  <si>
    <t>Observation de la qualité des services offerts par les média. -Délivrance  des licences. -Observation sur le terrain</t>
  </si>
  <si>
    <t>Observance des lois, décrets et durée de la tolérance administrative (délivrance des licences). -Le secteur de la communication est assaini. -Les média fonctionnent dans le respect des normes en vigueur. Amélioration de La qualité des outils de publicité. -  Durée des affiches et des banderoles. -Amélioration des activités de la communication. -  Amélioration de la qualité des outils de publicité. -  Durée des affiches et des banderoles</t>
  </si>
  <si>
    <t>Une radio communautaire opérationnelle. -Signal de la CRTV mieux reçu</t>
  </si>
  <si>
    <t>Qualité du signal. -On est passé du système analogique au système numérique</t>
  </si>
  <si>
    <t>Amélioration de la qualité des outils de publicité. -  Durée des affiches et des banderoles</t>
  </si>
  <si>
    <t>Observation sur le terrain. -Procès-verbaux, amendes infligées aux récalcitrants</t>
  </si>
  <si>
    <t>Incivisme des parties prenantes. -Volonté des responsables</t>
  </si>
  <si>
    <t>Amélioration de la qualité des services des médias. -Slights  d’information diffusés</t>
  </si>
  <si>
    <t>Observation sur le terrain. -Lois et décrets réglementant le secteur</t>
  </si>
  <si>
    <t>02 postes de gendarmerie opérationnelles. -03 postes de police opérationnelles</t>
  </si>
  <si>
    <t>Disponibilité financière et partenariat avec la Commune. -Réglementer la délivrance des licences d’exploitation incontrôlées par l’autorité administrative</t>
  </si>
  <si>
    <t>Forces de maintien de l’ordre équipées en matériel de déplacement. -02 comités de vigilance sont équipés. -Les débits de boissons et les boites de nuits sont civiques</t>
  </si>
  <si>
    <t>De visu. -  PV de réception. -  Répertoire des débits de boisson et boites de nuits. PV des réunions de sensibilisation et Listes de présence</t>
  </si>
  <si>
    <t>PV de réception. -  Liste des récipiendaires</t>
  </si>
  <si>
    <r>
      <t xml:space="preserve">R1O1 : 02 postes de gendarmerie opérationnels et  un logement pour le commandant construit  </t>
    </r>
    <r>
      <rPr>
        <sz val="9.5"/>
        <color theme="1"/>
        <rFont val="Arial"/>
        <family val="2"/>
      </rPr>
      <t>à Batoukop et Njingha 1</t>
    </r>
  </si>
  <si>
    <t>R2O1 : 03 postes de police opérationnels et un logement construit pour le commandant  à Njingha 2, Tougniet  et Famla 3</t>
  </si>
  <si>
    <r>
      <t>A1R1O1</t>
    </r>
    <r>
      <rPr>
        <sz val="11"/>
        <color theme="1"/>
        <rFont val="Arial"/>
        <family val="2"/>
      </rPr>
      <t>- Demander la création de 02 postes de gendarmerie sur le territoire communal à Batoukop et Njingha 1</t>
    </r>
  </si>
  <si>
    <r>
      <t>A2R1O1</t>
    </r>
    <r>
      <rPr>
        <sz val="11"/>
        <color theme="1"/>
        <rFont val="Arial"/>
        <family val="2"/>
      </rPr>
      <t>- Construire et équiper 02 postes de gendarmerie  avec logement d’astreinte pour le  commandant à Batoukop et Njingha 1</t>
    </r>
  </si>
  <si>
    <r>
      <t>A1R1O2</t>
    </r>
    <r>
      <rPr>
        <sz val="11"/>
        <color theme="1"/>
        <rFont val="Arial"/>
        <family val="2"/>
      </rPr>
      <t>- Demander la création de 03 postes de police</t>
    </r>
  </si>
  <si>
    <r>
      <t>A2R1O2</t>
    </r>
    <r>
      <rPr>
        <sz val="11"/>
        <color theme="1"/>
        <rFont val="Arial"/>
        <family val="2"/>
      </rPr>
      <t>- Construire et équiper   03 Potes de police avec logement d’astreinte pour le commandant</t>
    </r>
  </si>
  <si>
    <r>
      <t>A1R2O2</t>
    </r>
    <r>
      <rPr>
        <sz val="11"/>
        <color theme="1"/>
        <rFont val="Arial"/>
        <family val="2"/>
      </rPr>
      <t>. Acquérir le petit matériel roulant pour les forces de maintien de l’ordre</t>
    </r>
  </si>
  <si>
    <t>La décision de création de l’université,. -décision d’ouverture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</si>
</sst>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1" formatCode="_-* #,##0\ _F_C_F_A_-;\-* #,##0\ _F_C_F_A_-;_-* &quot;-&quot;\ _F_C_F_A_-;_-@_-"/>
    <numFmt numFmtId="43" formatCode="_-* #,##0.00\ _F_C_F_A_-;\-* #,##0.00\ _F_C_F_A_-;_-* &quot;-&quot;??\ _F_C_F_A_-;_-@_-"/>
    <numFmt numFmtId="164" formatCode="_-* #,##0\ _€_-;\-* #,##0\ _€_-;_-* &quot;-&quot;??\ _€_-;_-@_-"/>
  </numFmts>
  <fonts count="35" x14ac:knownFonts="1">
    <font>
      <sz val="11"/>
      <color theme="1"/>
      <name val="Calibri"/>
      <family val="2"/>
      <scheme val="minor"/>
    </font>
    <font>
      <b/>
      <sz val="11"/>
      <color theme="1"/>
      <name val="Calibri"/>
      <family val="2"/>
      <scheme val="minor"/>
    </font>
    <font>
      <b/>
      <sz val="14"/>
      <color theme="1"/>
      <name val="Calibri"/>
      <family val="2"/>
      <scheme val="minor"/>
    </font>
    <font>
      <sz val="11"/>
      <color theme="1"/>
      <name val="Times New Roman"/>
      <family val="1"/>
    </font>
    <font>
      <sz val="7"/>
      <color theme="1"/>
      <name val="Times New Roman"/>
      <family val="1"/>
    </font>
    <font>
      <b/>
      <sz val="11"/>
      <color theme="1"/>
      <name val="Arial"/>
      <family val="2"/>
    </font>
    <font>
      <sz val="11"/>
      <color theme="1"/>
      <name val="Arial"/>
      <family val="2"/>
    </font>
    <font>
      <sz val="9"/>
      <color theme="1"/>
      <name val="Arial"/>
      <family val="2"/>
    </font>
    <font>
      <b/>
      <sz val="9"/>
      <color theme="1"/>
      <name val="Arial"/>
      <family val="2"/>
    </font>
    <font>
      <b/>
      <sz val="10"/>
      <color theme="1"/>
      <name val="Arial"/>
      <family val="2"/>
    </font>
    <font>
      <sz val="8.5"/>
      <color theme="1"/>
      <name val="Times New Roman"/>
      <family val="1"/>
    </font>
    <font>
      <sz val="9.5"/>
      <color theme="1"/>
      <name val="Arial"/>
      <family val="2"/>
    </font>
    <font>
      <sz val="9"/>
      <color theme="1"/>
      <name val="Calibri"/>
      <family val="2"/>
      <scheme val="minor"/>
    </font>
    <font>
      <sz val="9"/>
      <color theme="1"/>
      <name val="Times New Roman"/>
      <family val="1"/>
    </font>
    <font>
      <sz val="6.5"/>
      <color theme="1"/>
      <name val="Arial"/>
      <family val="2"/>
    </font>
    <font>
      <sz val="10.5"/>
      <color theme="1"/>
      <name val="Times New Roman"/>
      <family val="1"/>
    </font>
    <font>
      <sz val="9.5"/>
      <color theme="1"/>
      <name val="Times New Roman"/>
      <family val="1"/>
    </font>
    <font>
      <b/>
      <sz val="9.5"/>
      <color theme="1"/>
      <name val="Arial"/>
      <family val="2"/>
    </font>
    <font>
      <b/>
      <sz val="8"/>
      <color theme="1"/>
      <name val="Arial"/>
      <family val="2"/>
    </font>
    <font>
      <i/>
      <sz val="9"/>
      <color theme="1"/>
      <name val="Arial"/>
      <family val="2"/>
    </font>
    <font>
      <sz val="6"/>
      <color theme="1"/>
      <name val="Arial"/>
      <family val="2"/>
    </font>
    <font>
      <sz val="11"/>
      <color theme="1"/>
      <name val="Calibri"/>
      <family val="2"/>
      <scheme val="minor"/>
    </font>
    <font>
      <b/>
      <sz val="10"/>
      <color theme="1"/>
      <name val="Arial Narrow"/>
      <family val="2"/>
    </font>
    <font>
      <sz val="11"/>
      <color rgb="FF000000"/>
      <name val="Calibri"/>
      <family val="2"/>
      <scheme val="minor"/>
    </font>
    <font>
      <sz val="11"/>
      <color rgb="FF000000"/>
      <name val="Arial Narrow"/>
      <family val="2"/>
    </font>
    <font>
      <sz val="11"/>
      <color theme="1"/>
      <name val="Arial Narrow"/>
      <family val="2"/>
    </font>
    <font>
      <b/>
      <sz val="11"/>
      <color theme="1"/>
      <name val="Arial Narrow"/>
      <family val="2"/>
    </font>
    <font>
      <b/>
      <sz val="11"/>
      <color rgb="FF000000"/>
      <name val="Calibri"/>
      <family val="2"/>
      <scheme val="minor"/>
    </font>
    <font>
      <b/>
      <sz val="11"/>
      <color rgb="FF000000"/>
      <name val="Arial Narrow"/>
      <family val="2"/>
    </font>
    <font>
      <b/>
      <sz val="6"/>
      <color theme="1"/>
      <name val="Arial"/>
      <family val="2"/>
    </font>
    <font>
      <b/>
      <sz val="7"/>
      <color theme="1"/>
      <name val="Times New Roman"/>
      <family val="1"/>
    </font>
    <font>
      <sz val="9.5"/>
      <color theme="1"/>
      <name val="Calibri"/>
      <family val="2"/>
      <scheme val="minor"/>
    </font>
    <font>
      <b/>
      <sz val="11"/>
      <name val="Arial"/>
      <family val="2"/>
    </font>
    <font>
      <sz val="9.5"/>
      <color theme="1"/>
      <name val="Calibri"/>
      <family val="2"/>
    </font>
    <font>
      <sz val="11"/>
      <color theme="1"/>
      <name val="Calibri"/>
      <family val="2"/>
    </font>
  </fonts>
  <fills count="9">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EDEBE0"/>
        <bgColor indexed="64"/>
      </patternFill>
    </fill>
    <fill>
      <patternFill patternType="solid">
        <fgColor theme="9" tint="0.79998168889431442"/>
        <bgColor indexed="64"/>
      </patternFill>
    </fill>
  </fills>
  <borders count="9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top/>
      <bottom style="medium">
        <color rgb="FF000000"/>
      </bottom>
      <diagonal/>
    </border>
    <border>
      <left style="thin">
        <color indexed="64"/>
      </left>
      <right style="thin">
        <color indexed="64"/>
      </right>
      <top/>
      <bottom style="thin">
        <color indexed="64"/>
      </bottom>
      <diagonal/>
    </border>
    <border>
      <left/>
      <right style="medium">
        <color rgb="FF000000"/>
      </right>
      <top/>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indexed="64"/>
      </left>
      <right style="medium">
        <color indexed="64"/>
      </right>
      <top/>
      <bottom style="medium">
        <color rgb="FF000000"/>
      </bottom>
      <diagonal/>
    </border>
    <border>
      <left style="medium">
        <color rgb="FF000000"/>
      </left>
      <right style="medium">
        <color indexed="64"/>
      </right>
      <top/>
      <bottom style="medium">
        <color indexed="64"/>
      </bottom>
      <diagonal/>
    </border>
    <border>
      <left style="medium">
        <color indexed="64"/>
      </left>
      <right style="medium">
        <color rgb="FF000000"/>
      </right>
      <top style="medium">
        <color indexed="64"/>
      </top>
      <bottom/>
      <diagonal/>
    </border>
    <border>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rgb="FF000000"/>
      </right>
      <top/>
      <bottom style="medium">
        <color indexed="64"/>
      </bottom>
      <diagonal/>
    </border>
    <border>
      <left/>
      <right style="medium">
        <color rgb="FF000000"/>
      </right>
      <top/>
      <bottom style="medium">
        <color indexed="64"/>
      </bottom>
      <diagonal/>
    </border>
    <border>
      <left/>
      <right/>
      <top/>
      <bottom style="medium">
        <color indexed="64"/>
      </bottom>
      <diagonal/>
    </border>
    <border>
      <left style="medium">
        <color indexed="64"/>
      </left>
      <right style="medium">
        <color indexed="64"/>
      </right>
      <top style="medium">
        <color rgb="FF000000"/>
      </top>
      <bottom/>
      <diagonal/>
    </border>
    <border>
      <left style="medium">
        <color indexed="64"/>
      </left>
      <right/>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rgb="FF000000"/>
      </left>
      <right style="medium">
        <color rgb="FF000000"/>
      </right>
      <top style="medium">
        <color indexed="64"/>
      </top>
      <bottom/>
      <diagonal/>
    </border>
    <border>
      <left style="medium">
        <color rgb="FF000000"/>
      </left>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medium">
        <color indexed="64"/>
      </left>
      <right/>
      <top/>
      <bottom/>
      <diagonal/>
    </border>
    <border>
      <left/>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medium">
        <color rgb="FF000000"/>
      </right>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rgb="FF000000"/>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right style="thin">
        <color indexed="64"/>
      </right>
      <top style="medium">
        <color indexed="64"/>
      </top>
      <bottom style="medium">
        <color indexed="64"/>
      </bottom>
      <diagonal/>
    </border>
    <border>
      <left style="thick">
        <color rgb="FF000000"/>
      </left>
      <right style="medium">
        <color rgb="FF000000"/>
      </right>
      <top style="medium">
        <color indexed="64"/>
      </top>
      <bottom/>
      <diagonal/>
    </border>
    <border>
      <left style="medium">
        <color rgb="FF000000"/>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medium">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style="medium">
        <color indexed="64"/>
      </left>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rgb="FF000000"/>
      </top>
      <bottom style="medium">
        <color rgb="FF000000"/>
      </bottom>
      <diagonal/>
    </border>
    <border>
      <left/>
      <right style="thin">
        <color indexed="64"/>
      </right>
      <top style="medium">
        <color indexed="64"/>
      </top>
      <bottom/>
      <diagonal/>
    </border>
  </borders>
  <cellStyleXfs count="4">
    <xf numFmtId="0" fontId="0" fillId="0" borderId="0"/>
    <xf numFmtId="43" fontId="21" fillId="0" borderId="0" applyFont="0" applyFill="0" applyBorder="0" applyAlignment="0" applyProtection="0"/>
    <xf numFmtId="41" fontId="21" fillId="0" borderId="0" applyFont="0" applyFill="0" applyBorder="0" applyAlignment="0" applyProtection="0"/>
    <xf numFmtId="9" fontId="21" fillId="0" borderId="0" applyFont="0" applyFill="0" applyBorder="0" applyAlignment="0" applyProtection="0"/>
  </cellStyleXfs>
  <cellXfs count="1089">
    <xf numFmtId="0" fontId="0" fillId="0" borderId="0" xfId="0"/>
    <xf numFmtId="0" fontId="0" fillId="0" borderId="10" xfId="0" applyBorder="1" applyAlignment="1">
      <alignment horizontal="left" vertical="center" wrapText="1"/>
    </xf>
    <xf numFmtId="0" fontId="6" fillId="0" borderId="10" xfId="0" applyFont="1" applyBorder="1" applyAlignment="1">
      <alignment vertical="center" wrapText="1"/>
    </xf>
    <xf numFmtId="0" fontId="7" fillId="0" borderId="23" xfId="0" applyFont="1" applyBorder="1" applyAlignment="1">
      <alignment horizontal="center" vertical="center" wrapText="1"/>
    </xf>
    <xf numFmtId="0" fontId="7" fillId="0" borderId="32" xfId="0" applyFont="1" applyBorder="1" applyAlignment="1">
      <alignment vertical="center" wrapText="1"/>
    </xf>
    <xf numFmtId="0" fontId="7" fillId="0" borderId="27" xfId="0" applyFont="1" applyBorder="1" applyAlignment="1">
      <alignment vertical="center" wrapText="1"/>
    </xf>
    <xf numFmtId="0" fontId="6" fillId="0" borderId="28" xfId="0" applyFont="1" applyBorder="1" applyAlignment="1">
      <alignment vertical="center" wrapText="1"/>
    </xf>
    <xf numFmtId="0" fontId="11" fillId="0" borderId="32" xfId="0" applyFont="1" applyBorder="1" applyAlignment="1">
      <alignment vertical="center" wrapText="1"/>
    </xf>
    <xf numFmtId="0" fontId="12" fillId="0" borderId="32" xfId="0" applyFont="1" applyBorder="1" applyAlignment="1">
      <alignment horizontal="justify" vertical="center" wrapText="1"/>
    </xf>
    <xf numFmtId="0" fontId="6" fillId="0" borderId="32" xfId="0" applyFont="1" applyBorder="1" applyAlignment="1">
      <alignment vertical="center" wrapText="1"/>
    </xf>
    <xf numFmtId="0" fontId="13" fillId="0" borderId="32" xfId="0" applyFont="1" applyBorder="1" applyAlignment="1">
      <alignment vertical="center" wrapText="1"/>
    </xf>
    <xf numFmtId="0" fontId="7" fillId="0" borderId="32" xfId="0" applyFont="1" applyBorder="1" applyAlignment="1">
      <alignment horizontal="justify" vertical="center" wrapText="1"/>
    </xf>
    <xf numFmtId="0" fontId="0" fillId="0" borderId="30" xfId="0" applyBorder="1" applyAlignment="1">
      <alignment vertical="center" wrapText="1"/>
    </xf>
    <xf numFmtId="0" fontId="0" fillId="0" borderId="32" xfId="0" applyBorder="1" applyAlignment="1">
      <alignment horizontal="left" vertical="center" wrapText="1"/>
    </xf>
    <xf numFmtId="0" fontId="0" fillId="0" borderId="27" xfId="0" applyBorder="1" applyAlignment="1">
      <alignment horizontal="left" vertical="center" wrapText="1"/>
    </xf>
    <xf numFmtId="0" fontId="0" fillId="0" borderId="30" xfId="0" applyBorder="1" applyAlignment="1">
      <alignment horizontal="left" vertical="center" wrapText="1"/>
    </xf>
    <xf numFmtId="0" fontId="1" fillId="0" borderId="10" xfId="0" applyFont="1" applyBorder="1" applyAlignment="1">
      <alignment horizontal="center" vertical="center"/>
    </xf>
    <xf numFmtId="0" fontId="1" fillId="0" borderId="10" xfId="0" applyFont="1" applyBorder="1" applyAlignment="1">
      <alignment vertical="center"/>
    </xf>
    <xf numFmtId="0" fontId="0" fillId="0" borderId="0" xfId="0" applyAlignment="1">
      <alignment horizontal="center"/>
    </xf>
    <xf numFmtId="0" fontId="13" fillId="0" borderId="32" xfId="0" applyFont="1" applyBorder="1" applyAlignment="1">
      <alignment horizontal="left" vertical="center" wrapText="1" indent="1"/>
    </xf>
    <xf numFmtId="0" fontId="0" fillId="0" borderId="45" xfId="0" applyBorder="1" applyAlignment="1">
      <alignment vertical="center" wrapText="1"/>
    </xf>
    <xf numFmtId="0" fontId="0" fillId="0" borderId="8" xfId="0" applyBorder="1" applyAlignment="1">
      <alignment vertical="center" wrapText="1"/>
    </xf>
    <xf numFmtId="0" fontId="6" fillId="0" borderId="0" xfId="0" applyFont="1" applyBorder="1" applyAlignment="1">
      <alignment vertical="center" wrapText="1"/>
    </xf>
    <xf numFmtId="0" fontId="11" fillId="0" borderId="0" xfId="0" applyFont="1" applyBorder="1" applyAlignment="1">
      <alignment vertical="center" wrapText="1"/>
    </xf>
    <xf numFmtId="0" fontId="0" fillId="0" borderId="33" xfId="0" applyBorder="1" applyAlignment="1">
      <alignment vertical="center" wrapText="1"/>
    </xf>
    <xf numFmtId="0" fontId="0" fillId="0" borderId="0" xfId="0" applyAlignment="1">
      <alignment horizontal="left" vertical="center" wrapText="1"/>
    </xf>
    <xf numFmtId="0" fontId="13" fillId="0" borderId="32" xfId="0" applyFont="1" applyBorder="1" applyAlignment="1">
      <alignment horizontal="left" vertical="center" wrapText="1"/>
    </xf>
    <xf numFmtId="0" fontId="3" fillId="0" borderId="32" xfId="0" applyFont="1" applyBorder="1" applyAlignment="1">
      <alignment horizontal="left" vertical="center" wrapText="1"/>
    </xf>
    <xf numFmtId="0" fontId="0" fillId="0" borderId="25" xfId="0" applyBorder="1" applyAlignment="1">
      <alignment horizontal="left" vertical="center" wrapText="1"/>
    </xf>
    <xf numFmtId="0" fontId="0" fillId="0" borderId="29" xfId="0" applyBorder="1" applyAlignment="1">
      <alignment horizontal="left" vertical="center" wrapText="1"/>
    </xf>
    <xf numFmtId="0" fontId="5" fillId="0" borderId="10" xfId="0" applyFont="1" applyBorder="1" applyAlignment="1">
      <alignment horizontal="left" vertical="center" wrapText="1"/>
    </xf>
    <xf numFmtId="0" fontId="5" fillId="0" borderId="30" xfId="0" applyFont="1" applyBorder="1" applyAlignment="1">
      <alignment horizontal="left" vertical="center" wrapText="1"/>
    </xf>
    <xf numFmtId="0" fontId="6" fillId="0" borderId="27" xfId="0" applyFont="1" applyBorder="1" applyAlignment="1">
      <alignment horizontal="left" vertical="center" wrapText="1"/>
    </xf>
    <xf numFmtId="0" fontId="0" fillId="0" borderId="22" xfId="0" applyBorder="1" applyAlignment="1">
      <alignment horizontal="left" vertical="center" wrapText="1"/>
    </xf>
    <xf numFmtId="0" fontId="6" fillId="0" borderId="28" xfId="0" applyFont="1" applyBorder="1" applyAlignment="1">
      <alignment horizontal="left" vertical="center" wrapText="1"/>
    </xf>
    <xf numFmtId="0" fontId="6" fillId="0" borderId="32" xfId="0" applyFont="1" applyBorder="1" applyAlignment="1">
      <alignment horizontal="left" vertical="center" wrapText="1"/>
    </xf>
    <xf numFmtId="0" fontId="1" fillId="0" borderId="10" xfId="0" applyFont="1" applyBorder="1" applyAlignment="1">
      <alignment vertical="center" wrapText="1"/>
    </xf>
    <xf numFmtId="0" fontId="0" fillId="0" borderId="0" xfId="0" applyAlignment="1">
      <alignment vertical="center"/>
    </xf>
    <xf numFmtId="0" fontId="1" fillId="0" borderId="10" xfId="0" applyFont="1" applyBorder="1" applyAlignment="1">
      <alignment horizontal="center" vertical="center" wrapText="1"/>
    </xf>
    <xf numFmtId="3" fontId="1" fillId="0" borderId="10" xfId="0" applyNumberFormat="1" applyFont="1" applyBorder="1" applyAlignment="1">
      <alignment horizontal="center" vertical="center" wrapText="1"/>
    </xf>
    <xf numFmtId="3" fontId="22" fillId="0" borderId="10" xfId="0" applyNumberFormat="1" applyFont="1" applyBorder="1" applyAlignment="1">
      <alignment horizontal="center" vertical="center" wrapText="1"/>
    </xf>
    <xf numFmtId="0" fontId="0" fillId="0" borderId="0" xfId="0" applyAlignment="1">
      <alignment horizontal="center" vertical="center"/>
    </xf>
    <xf numFmtId="0" fontId="0" fillId="0" borderId="10" xfId="0" applyFont="1" applyBorder="1" applyAlignment="1">
      <alignment vertical="center"/>
    </xf>
    <xf numFmtId="3" fontId="0" fillId="0" borderId="10" xfId="0" applyNumberFormat="1" applyFont="1" applyBorder="1" applyAlignment="1">
      <alignment vertical="center"/>
    </xf>
    <xf numFmtId="0" fontId="23" fillId="0" borderId="10" xfId="0" applyFont="1" applyBorder="1" applyAlignment="1">
      <alignment vertical="center" wrapText="1"/>
    </xf>
    <xf numFmtId="3" fontId="23" fillId="0" borderId="10" xfId="0" applyNumberFormat="1" applyFont="1" applyBorder="1" applyAlignment="1">
      <alignment vertical="center" wrapText="1"/>
    </xf>
    <xf numFmtId="3" fontId="24" fillId="0" borderId="10" xfId="0" applyNumberFormat="1" applyFont="1" applyBorder="1" applyAlignment="1">
      <alignment vertical="center"/>
    </xf>
    <xf numFmtId="3" fontId="0" fillId="0" borderId="10" xfId="0" applyNumberFormat="1" applyFont="1" applyBorder="1"/>
    <xf numFmtId="3" fontId="24" fillId="0" borderId="10" xfId="0" applyNumberFormat="1" applyFont="1" applyBorder="1" applyAlignment="1">
      <alignment vertical="center" wrapText="1"/>
    </xf>
    <xf numFmtId="3" fontId="25" fillId="0" borderId="10" xfId="0" applyNumberFormat="1" applyFont="1" applyBorder="1" applyAlignment="1">
      <alignment vertical="center"/>
    </xf>
    <xf numFmtId="3" fontId="25" fillId="0" borderId="10" xfId="0" applyNumberFormat="1" applyFont="1" applyBorder="1" applyAlignment="1">
      <alignment horizontal="right" vertical="center" wrapText="1"/>
    </xf>
    <xf numFmtId="164" fontId="0" fillId="0" borderId="10" xfId="1" applyNumberFormat="1" applyFont="1" applyBorder="1" applyAlignment="1">
      <alignment horizontal="right" vertical="center"/>
    </xf>
    <xf numFmtId="164" fontId="0" fillId="0" borderId="10" xfId="0" applyNumberFormat="1" applyFont="1" applyBorder="1" applyAlignment="1">
      <alignment horizontal="right" vertical="center"/>
    </xf>
    <xf numFmtId="3" fontId="24" fillId="0" borderId="10" xfId="0" applyNumberFormat="1" applyFont="1" applyBorder="1" applyAlignment="1">
      <alignment horizontal="right" vertical="center" wrapText="1"/>
    </xf>
    <xf numFmtId="3" fontId="25" fillId="0" borderId="10" xfId="0" applyNumberFormat="1" applyFont="1" applyBorder="1" applyAlignment="1">
      <alignment horizontal="right" vertical="center"/>
    </xf>
    <xf numFmtId="3" fontId="24" fillId="2" borderId="10" xfId="0" applyNumberFormat="1" applyFont="1" applyFill="1" applyBorder="1" applyAlignment="1">
      <alignment vertical="center"/>
    </xf>
    <xf numFmtId="164" fontId="0" fillId="0" borderId="10" xfId="1" applyNumberFormat="1" applyFont="1" applyBorder="1" applyAlignment="1">
      <alignment horizontal="left" vertical="center"/>
    </xf>
    <xf numFmtId="0" fontId="0" fillId="0" borderId="0" xfId="0" applyFont="1" applyAlignment="1">
      <alignment vertical="center"/>
    </xf>
    <xf numFmtId="3" fontId="0" fillId="0" borderId="10" xfId="0" applyNumberFormat="1" applyFont="1" applyBorder="1" applyAlignment="1">
      <alignment horizontal="right" vertical="center"/>
    </xf>
    <xf numFmtId="3" fontId="0" fillId="0" borderId="48" xfId="0" applyNumberFormat="1" applyFont="1" applyBorder="1" applyAlignment="1">
      <alignment vertical="center"/>
    </xf>
    <xf numFmtId="3" fontId="0" fillId="0" borderId="31" xfId="0" applyNumberFormat="1" applyFont="1" applyBorder="1" applyAlignment="1">
      <alignment vertical="center"/>
    </xf>
    <xf numFmtId="3" fontId="23" fillId="0" borderId="10" xfId="0" applyNumberFormat="1" applyFont="1" applyBorder="1" applyAlignment="1">
      <alignment horizontal="right" vertical="center" wrapText="1"/>
    </xf>
    <xf numFmtId="0" fontId="0" fillId="0" borderId="10" xfId="0" applyFont="1" applyBorder="1" applyAlignment="1">
      <alignment vertical="center" wrapText="1"/>
    </xf>
    <xf numFmtId="164" fontId="23" fillId="0" borderId="10" xfId="1" applyNumberFormat="1" applyFont="1" applyBorder="1" applyAlignment="1">
      <alignment horizontal="right" vertical="center" wrapText="1"/>
    </xf>
    <xf numFmtId="3" fontId="24" fillId="0" borderId="0" xfId="0" applyNumberFormat="1" applyFont="1" applyAlignment="1">
      <alignment vertical="center"/>
    </xf>
    <xf numFmtId="3" fontId="1" fillId="0" borderId="10" xfId="0" applyNumberFormat="1" applyFont="1" applyBorder="1" applyAlignment="1">
      <alignment horizontal="right" vertical="center"/>
    </xf>
    <xf numFmtId="3" fontId="1" fillId="2" borderId="10" xfId="1" applyNumberFormat="1" applyFont="1" applyFill="1" applyBorder="1" applyAlignment="1">
      <alignment horizontal="right" vertical="center"/>
    </xf>
    <xf numFmtId="3" fontId="26" fillId="2" borderId="10" xfId="1" applyNumberFormat="1" applyFont="1" applyFill="1" applyBorder="1" applyAlignment="1">
      <alignment horizontal="right" vertical="center"/>
    </xf>
    <xf numFmtId="3" fontId="0" fillId="0" borderId="0" xfId="0" applyNumberFormat="1" applyAlignment="1">
      <alignment horizontal="right" vertical="center"/>
    </xf>
    <xf numFmtId="3" fontId="1" fillId="4" borderId="10" xfId="0" applyNumberFormat="1" applyFont="1" applyFill="1" applyBorder="1" applyAlignment="1">
      <alignment horizontal="right" vertical="center"/>
    </xf>
    <xf numFmtId="3" fontId="27" fillId="4" borderId="10" xfId="0" applyNumberFormat="1" applyFont="1" applyFill="1" applyBorder="1" applyAlignment="1">
      <alignment horizontal="right" vertical="center" wrapText="1"/>
    </xf>
    <xf numFmtId="3" fontId="1" fillId="4" borderId="10" xfId="0" applyNumberFormat="1" applyFont="1" applyFill="1" applyBorder="1" applyAlignment="1">
      <alignment horizontal="right" vertical="center" wrapText="1"/>
    </xf>
    <xf numFmtId="3" fontId="26" fillId="4" borderId="10" xfId="0" applyNumberFormat="1" applyFont="1" applyFill="1" applyBorder="1" applyAlignment="1">
      <alignment horizontal="right" vertical="center" wrapText="1"/>
    </xf>
    <xf numFmtId="164" fontId="1" fillId="4" borderId="10" xfId="0" applyNumberFormat="1" applyFont="1" applyFill="1" applyBorder="1" applyAlignment="1">
      <alignment horizontal="right" vertical="center"/>
    </xf>
    <xf numFmtId="3" fontId="1" fillId="5" borderId="10" xfId="0" applyNumberFormat="1" applyFont="1" applyFill="1" applyBorder="1" applyAlignment="1">
      <alignment horizontal="right" vertical="center"/>
    </xf>
    <xf numFmtId="3" fontId="27" fillId="5" borderId="10" xfId="0" applyNumberFormat="1" applyFont="1" applyFill="1" applyBorder="1" applyAlignment="1">
      <alignment horizontal="right" vertical="center" wrapText="1"/>
    </xf>
    <xf numFmtId="3" fontId="28" fillId="5" borderId="10" xfId="0" applyNumberFormat="1" applyFont="1" applyFill="1" applyBorder="1" applyAlignment="1">
      <alignment horizontal="right" vertical="center" wrapText="1"/>
    </xf>
    <xf numFmtId="0" fontId="1" fillId="6" borderId="10" xfId="0" applyFont="1" applyFill="1" applyBorder="1" applyAlignment="1">
      <alignment horizontal="right" vertical="center"/>
    </xf>
    <xf numFmtId="0" fontId="0" fillId="6" borderId="10" xfId="0" applyFont="1" applyFill="1" applyBorder="1" applyAlignment="1">
      <alignment vertical="center"/>
    </xf>
    <xf numFmtId="3" fontId="25" fillId="6" borderId="10" xfId="0" applyNumberFormat="1" applyFont="1" applyFill="1" applyBorder="1" applyAlignment="1">
      <alignment vertical="center"/>
    </xf>
    <xf numFmtId="0" fontId="0" fillId="6" borderId="10" xfId="0" applyFont="1" applyFill="1" applyBorder="1" applyAlignment="1">
      <alignment horizontal="right" vertical="center"/>
    </xf>
    <xf numFmtId="0" fontId="2" fillId="0" borderId="0" xfId="0" applyFont="1" applyAlignment="1">
      <alignment vertical="center"/>
    </xf>
    <xf numFmtId="0" fontId="0" fillId="0" borderId="28" xfId="0" applyBorder="1" applyAlignment="1">
      <alignment vertical="center" wrapText="1"/>
    </xf>
    <xf numFmtId="0" fontId="0" fillId="0" borderId="24" xfId="0" applyBorder="1" applyAlignment="1">
      <alignment vertical="center" wrapText="1"/>
    </xf>
    <xf numFmtId="0" fontId="0" fillId="0" borderId="23" xfId="0" applyBorder="1" applyAlignment="1">
      <alignment vertical="center" wrapText="1"/>
    </xf>
    <xf numFmtId="0" fontId="7" fillId="0" borderId="23" xfId="0" applyFont="1" applyBorder="1" applyAlignment="1">
      <alignment vertical="center" wrapText="1"/>
    </xf>
    <xf numFmtId="0" fontId="7" fillId="0" borderId="28" xfId="0" applyFont="1" applyBorder="1" applyAlignment="1">
      <alignment vertical="center" wrapText="1"/>
    </xf>
    <xf numFmtId="0" fontId="0" fillId="0" borderId="27" xfId="0" applyBorder="1" applyAlignment="1">
      <alignment vertical="center" wrapText="1"/>
    </xf>
    <xf numFmtId="0" fontId="0" fillId="0" borderId="28" xfId="0" applyBorder="1" applyAlignment="1">
      <alignment vertical="center" wrapText="1"/>
    </xf>
    <xf numFmtId="0" fontId="7" fillId="0" borderId="28" xfId="0" applyFont="1" applyBorder="1" applyAlignment="1">
      <alignment vertical="center" wrapText="1"/>
    </xf>
    <xf numFmtId="0" fontId="0" fillId="0" borderId="34" xfId="0" applyBorder="1" applyAlignment="1">
      <alignment vertical="center" wrapText="1"/>
    </xf>
    <xf numFmtId="0" fontId="0" fillId="0" borderId="30" xfId="0" applyBorder="1" applyAlignment="1">
      <alignment vertical="top" wrapText="1"/>
    </xf>
    <xf numFmtId="0" fontId="8" fillId="7" borderId="32" xfId="0" applyFont="1" applyFill="1" applyBorder="1" applyAlignment="1">
      <alignment vertical="center" wrapText="1"/>
    </xf>
    <xf numFmtId="0" fontId="7" fillId="0" borderId="24" xfId="0" applyFont="1" applyBorder="1" applyAlignment="1">
      <alignment horizontal="center" vertical="center" wrapText="1"/>
    </xf>
    <xf numFmtId="0" fontId="7" fillId="7" borderId="32" xfId="0" applyFont="1" applyFill="1" applyBorder="1" applyAlignment="1">
      <alignment vertical="center" wrapText="1"/>
    </xf>
    <xf numFmtId="3" fontId="7" fillId="7" borderId="27" xfId="0" applyNumberFormat="1" applyFont="1" applyFill="1" applyBorder="1" applyAlignment="1">
      <alignment vertical="center" wrapText="1"/>
    </xf>
    <xf numFmtId="3" fontId="7" fillId="0" borderId="27" xfId="0" applyNumberFormat="1" applyFont="1" applyBorder="1" applyAlignment="1">
      <alignment vertical="center" wrapText="1"/>
    </xf>
    <xf numFmtId="0" fontId="0" fillId="7" borderId="27" xfId="0" applyFill="1" applyBorder="1" applyAlignment="1">
      <alignment vertical="center" wrapText="1"/>
    </xf>
    <xf numFmtId="0" fontId="7" fillId="7" borderId="27" xfId="0" applyFont="1" applyFill="1" applyBorder="1" applyAlignment="1">
      <alignment vertical="center" wrapText="1"/>
    </xf>
    <xf numFmtId="0" fontId="7" fillId="0" borderId="28" xfId="0" applyFont="1" applyBorder="1" applyAlignment="1">
      <alignment horizontal="center" vertical="center" wrapText="1"/>
    </xf>
    <xf numFmtId="0" fontId="7" fillId="7" borderId="32" xfId="0" applyFont="1" applyFill="1" applyBorder="1" applyAlignment="1">
      <alignment horizontal="justify" vertical="center" wrapText="1"/>
    </xf>
    <xf numFmtId="0" fontId="7" fillId="0" borderId="27" xfId="0" applyFont="1" applyBorder="1" applyAlignment="1">
      <alignment horizontal="justify" vertical="center" wrapText="1"/>
    </xf>
    <xf numFmtId="0" fontId="8" fillId="0" borderId="63" xfId="0" applyFont="1" applyBorder="1" applyAlignment="1">
      <alignment vertical="center" wrapText="1"/>
    </xf>
    <xf numFmtId="0" fontId="8" fillId="0" borderId="73" xfId="0" applyFont="1" applyBorder="1" applyAlignment="1">
      <alignment vertical="center" wrapText="1"/>
    </xf>
    <xf numFmtId="0" fontId="8" fillId="7" borderId="63" xfId="0" applyFont="1" applyFill="1" applyBorder="1" applyAlignment="1">
      <alignment vertical="center" wrapText="1"/>
    </xf>
    <xf numFmtId="0" fontId="8" fillId="7" borderId="2" xfId="0" applyFont="1" applyFill="1" applyBorder="1" applyAlignment="1">
      <alignment vertical="center" wrapText="1"/>
    </xf>
    <xf numFmtId="0" fontId="18" fillId="0" borderId="63" xfId="0" applyFont="1" applyBorder="1" applyAlignment="1">
      <alignment vertical="center" wrapText="1"/>
    </xf>
    <xf numFmtId="0" fontId="7" fillId="7" borderId="23" xfId="0" applyFont="1" applyFill="1" applyBorder="1" applyAlignment="1">
      <alignment vertical="center" wrapText="1"/>
    </xf>
    <xf numFmtId="0" fontId="7" fillId="7" borderId="28" xfId="0" applyFont="1" applyFill="1" applyBorder="1" applyAlignment="1">
      <alignment vertical="center" wrapText="1"/>
    </xf>
    <xf numFmtId="0" fontId="0" fillId="7" borderId="28" xfId="0" applyFill="1" applyBorder="1" applyAlignment="1">
      <alignment vertical="center" wrapText="1"/>
    </xf>
    <xf numFmtId="0" fontId="0" fillId="0" borderId="11" xfId="0" applyBorder="1"/>
    <xf numFmtId="3" fontId="7" fillId="0" borderId="63" xfId="0" applyNumberFormat="1" applyFont="1" applyBorder="1" applyAlignment="1">
      <alignment vertical="center" wrapText="1"/>
    </xf>
    <xf numFmtId="0" fontId="7" fillId="0" borderId="63" xfId="0" applyFont="1" applyBorder="1" applyAlignment="1">
      <alignment vertical="center" wrapText="1"/>
    </xf>
    <xf numFmtId="0" fontId="0" fillId="0" borderId="63" xfId="0" applyBorder="1" applyAlignment="1">
      <alignment vertical="center" wrapText="1"/>
    </xf>
    <xf numFmtId="0" fontId="0" fillId="7" borderId="2" xfId="0" applyFill="1" applyBorder="1" applyAlignment="1">
      <alignment vertical="center" wrapText="1"/>
    </xf>
    <xf numFmtId="0" fontId="0" fillId="7" borderId="63" xfId="0" applyFill="1" applyBorder="1" applyAlignment="1">
      <alignment vertical="center" wrapText="1"/>
    </xf>
    <xf numFmtId="0" fontId="7" fillId="7" borderId="63" xfId="0" applyFont="1" applyFill="1" applyBorder="1" applyAlignment="1">
      <alignment vertical="center" wrapText="1"/>
    </xf>
    <xf numFmtId="0" fontId="0" fillId="0" borderId="62" xfId="0" applyBorder="1" applyAlignment="1">
      <alignment vertical="center" wrapText="1"/>
    </xf>
    <xf numFmtId="3" fontId="19" fillId="0" borderId="63" xfId="0" applyNumberFormat="1" applyFont="1" applyBorder="1" applyAlignment="1">
      <alignment vertical="center" wrapText="1"/>
    </xf>
    <xf numFmtId="0" fontId="19" fillId="0" borderId="63" xfId="0" applyFont="1" applyBorder="1" applyAlignment="1">
      <alignment vertical="center" wrapText="1"/>
    </xf>
    <xf numFmtId="0" fontId="5" fillId="0" borderId="0" xfId="0" applyFont="1" applyAlignment="1">
      <alignment horizontal="center" vertical="center"/>
    </xf>
    <xf numFmtId="0" fontId="8" fillId="0" borderId="62" xfId="0" applyFont="1" applyBorder="1" applyAlignment="1">
      <alignment horizontal="center" vertical="center" wrapText="1"/>
    </xf>
    <xf numFmtId="0" fontId="0" fillId="0" borderId="5" xfId="0" applyBorder="1" applyAlignment="1">
      <alignment horizontal="center"/>
    </xf>
    <xf numFmtId="0" fontId="0" fillId="0" borderId="34" xfId="0" applyBorder="1" applyAlignment="1">
      <alignment horizontal="center" vertical="center" wrapText="1"/>
    </xf>
    <xf numFmtId="0" fontId="0" fillId="0" borderId="28" xfId="0" applyBorder="1" applyAlignment="1">
      <alignment horizontal="center" vertical="center" wrapText="1"/>
    </xf>
    <xf numFmtId="0" fontId="0" fillId="0" borderId="24" xfId="0" applyBorder="1" applyAlignment="1">
      <alignment horizontal="center" vertical="center" wrapText="1"/>
    </xf>
    <xf numFmtId="0" fontId="13" fillId="0" borderId="28" xfId="0" applyFont="1" applyBorder="1" applyAlignment="1">
      <alignment horizontal="center" vertical="center" wrapText="1"/>
    </xf>
    <xf numFmtId="0" fontId="0" fillId="0" borderId="24" xfId="0" applyBorder="1" applyAlignment="1">
      <alignment horizontal="center" vertical="top" wrapText="1"/>
    </xf>
    <xf numFmtId="0" fontId="7" fillId="0" borderId="34" xfId="0" applyFont="1" applyBorder="1" applyAlignment="1">
      <alignment horizontal="center" vertical="center" wrapText="1"/>
    </xf>
    <xf numFmtId="0" fontId="7" fillId="0" borderId="62" xfId="0" applyFont="1" applyBorder="1" applyAlignment="1">
      <alignment vertical="center" wrapText="1"/>
    </xf>
    <xf numFmtId="3" fontId="7" fillId="0" borderId="62" xfId="0" applyNumberFormat="1" applyFont="1" applyBorder="1" applyAlignment="1">
      <alignment vertical="center" wrapText="1"/>
    </xf>
    <xf numFmtId="3" fontId="7" fillId="7" borderId="63" xfId="0" applyNumberFormat="1" applyFont="1" applyFill="1" applyBorder="1" applyAlignment="1">
      <alignment vertical="center" wrapText="1"/>
    </xf>
    <xf numFmtId="0" fontId="7" fillId="0" borderId="30" xfId="0" applyFont="1" applyBorder="1" applyAlignment="1">
      <alignment vertical="center" wrapText="1"/>
    </xf>
    <xf numFmtId="0" fontId="7" fillId="0" borderId="8" xfId="0" applyFont="1" applyBorder="1" applyAlignment="1">
      <alignment horizontal="center" vertical="center" wrapText="1"/>
    </xf>
    <xf numFmtId="0" fontId="0" fillId="0" borderId="3" xfId="0" applyBorder="1" applyAlignment="1">
      <alignment horizontal="center"/>
    </xf>
    <xf numFmtId="0" fontId="0" fillId="0" borderId="3" xfId="0" applyBorder="1" applyAlignment="1">
      <alignment horizontal="center" vertical="center" wrapText="1"/>
    </xf>
    <xf numFmtId="0" fontId="0" fillId="0" borderId="62" xfId="0" applyBorder="1" applyAlignment="1">
      <alignment horizontal="center" vertical="center" wrapText="1"/>
    </xf>
    <xf numFmtId="3" fontId="0" fillId="0" borderId="62" xfId="0" applyNumberFormat="1" applyBorder="1" applyAlignment="1">
      <alignment horizontal="center" vertical="center" wrapText="1"/>
    </xf>
    <xf numFmtId="3" fontId="0" fillId="0" borderId="63" xfId="0" applyNumberFormat="1" applyBorder="1" applyAlignment="1">
      <alignment vertical="center" wrapText="1"/>
    </xf>
    <xf numFmtId="3" fontId="0" fillId="7" borderId="2" xfId="0" applyNumberFormat="1" applyFill="1" applyBorder="1" applyAlignment="1">
      <alignment vertical="center" wrapText="1"/>
    </xf>
    <xf numFmtId="3" fontId="0" fillId="0" borderId="5" xfId="0" applyNumberFormat="1" applyBorder="1" applyAlignment="1">
      <alignment horizontal="center"/>
    </xf>
    <xf numFmtId="3" fontId="0" fillId="0" borderId="63" xfId="0" applyNumberFormat="1" applyBorder="1" applyAlignment="1">
      <alignment vertical="top" wrapText="1"/>
    </xf>
    <xf numFmtId="3" fontId="0" fillId="0" borderId="0" xfId="0" applyNumberFormat="1"/>
    <xf numFmtId="3" fontId="8" fillId="7" borderId="63" xfId="0" applyNumberFormat="1" applyFont="1" applyFill="1" applyBorder="1" applyAlignment="1">
      <alignment vertical="center" wrapText="1"/>
    </xf>
    <xf numFmtId="3" fontId="8" fillId="7" borderId="32" xfId="0" applyNumberFormat="1" applyFont="1" applyFill="1" applyBorder="1" applyAlignment="1">
      <alignment vertical="center" wrapText="1"/>
    </xf>
    <xf numFmtId="3" fontId="13" fillId="7" borderId="32" xfId="0" applyNumberFormat="1" applyFont="1" applyFill="1" applyBorder="1" applyAlignment="1">
      <alignment vertical="center" wrapText="1"/>
    </xf>
    <xf numFmtId="3" fontId="10" fillId="7" borderId="32" xfId="0" applyNumberFormat="1" applyFont="1" applyFill="1" applyBorder="1" applyAlignment="1">
      <alignment vertical="center" wrapText="1"/>
    </xf>
    <xf numFmtId="3" fontId="0" fillId="7" borderId="28" xfId="0" applyNumberFormat="1" applyFill="1" applyBorder="1" applyAlignment="1">
      <alignment vertical="center" wrapText="1"/>
    </xf>
    <xf numFmtId="3" fontId="0" fillId="7" borderId="63" xfId="0" applyNumberFormat="1" applyFill="1" applyBorder="1" applyAlignment="1">
      <alignment vertical="center" wrapText="1"/>
    </xf>
    <xf numFmtId="0" fontId="0" fillId="7" borderId="1" xfId="0" applyFill="1" applyBorder="1" applyAlignment="1">
      <alignment vertical="center" wrapText="1"/>
    </xf>
    <xf numFmtId="3" fontId="0" fillId="7" borderId="11" xfId="0" applyNumberFormat="1" applyFill="1" applyBorder="1" applyAlignment="1">
      <alignment vertical="center" wrapText="1"/>
    </xf>
    <xf numFmtId="3" fontId="1" fillId="0" borderId="0" xfId="0" applyNumberFormat="1" applyFont="1"/>
    <xf numFmtId="0" fontId="19" fillId="2" borderId="63" xfId="0" applyFont="1" applyFill="1" applyBorder="1" applyAlignment="1">
      <alignment vertical="center" wrapText="1"/>
    </xf>
    <xf numFmtId="0" fontId="7" fillId="2" borderId="63" xfId="0" applyFont="1" applyFill="1" applyBorder="1" applyAlignment="1">
      <alignment vertical="center" wrapText="1"/>
    </xf>
    <xf numFmtId="41" fontId="7" fillId="0" borderId="63" xfId="2" applyFont="1" applyBorder="1" applyAlignment="1">
      <alignment vertical="center" wrapText="1"/>
    </xf>
    <xf numFmtId="41" fontId="19" fillId="0" borderId="63" xfId="2" applyFont="1" applyBorder="1" applyAlignment="1">
      <alignment vertical="center" wrapText="1"/>
    </xf>
    <xf numFmtId="10" fontId="1" fillId="0" borderId="0" xfId="3" applyNumberFormat="1" applyFont="1" applyAlignment="1">
      <alignment horizontal="center"/>
    </xf>
    <xf numFmtId="3" fontId="6" fillId="0" borderId="32" xfId="0" applyNumberFormat="1" applyFont="1" applyBorder="1" applyAlignment="1">
      <alignment horizontal="left" vertical="center" wrapText="1" indent="1"/>
    </xf>
    <xf numFmtId="0" fontId="5" fillId="0" borderId="0" xfId="0" applyFont="1" applyAlignment="1">
      <alignment horizontal="left" vertical="center" indent="1"/>
    </xf>
    <xf numFmtId="0" fontId="0" fillId="0" borderId="0" xfId="0" applyAlignment="1">
      <alignment horizontal="left" indent="1"/>
    </xf>
    <xf numFmtId="0" fontId="9" fillId="0" borderId="0" xfId="0" applyFont="1" applyAlignment="1">
      <alignment horizontal="left" vertical="center" indent="1"/>
    </xf>
    <xf numFmtId="0" fontId="5" fillId="0" borderId="63" xfId="0" applyFont="1" applyBorder="1" applyAlignment="1">
      <alignment vertical="center" wrapText="1"/>
    </xf>
    <xf numFmtId="0" fontId="5" fillId="0" borderId="73" xfId="0" applyFont="1" applyBorder="1" applyAlignment="1">
      <alignment vertical="center" wrapText="1"/>
    </xf>
    <xf numFmtId="0" fontId="6" fillId="0" borderId="23" xfId="0" applyFont="1" applyBorder="1" applyAlignment="1">
      <alignment vertical="center" wrapText="1"/>
    </xf>
    <xf numFmtId="0" fontId="5" fillId="0" borderId="28" xfId="0" applyFont="1" applyBorder="1" applyAlignment="1">
      <alignment vertical="center" wrapText="1"/>
    </xf>
    <xf numFmtId="0" fontId="6" fillId="0" borderId="50" xfId="0" applyFont="1" applyBorder="1" applyAlignment="1">
      <alignment vertical="center" wrapText="1"/>
    </xf>
    <xf numFmtId="0" fontId="6" fillId="0" borderId="16" xfId="0" applyFont="1" applyBorder="1" applyAlignment="1">
      <alignment vertical="center" wrapText="1"/>
    </xf>
    <xf numFmtId="0" fontId="6" fillId="0" borderId="19" xfId="0" applyFont="1" applyBorder="1" applyAlignment="1">
      <alignment vertical="center" wrapText="1"/>
    </xf>
    <xf numFmtId="0" fontId="6" fillId="0" borderId="18" xfId="0" applyFont="1" applyBorder="1" applyAlignment="1">
      <alignment vertical="center" wrapText="1"/>
    </xf>
    <xf numFmtId="0" fontId="0" fillId="0" borderId="19" xfId="0" applyBorder="1" applyAlignment="1">
      <alignment vertical="center" wrapText="1"/>
    </xf>
    <xf numFmtId="0" fontId="6" fillId="0" borderId="48" xfId="0" applyFont="1" applyBorder="1" applyAlignment="1">
      <alignment vertical="center" wrapText="1"/>
    </xf>
    <xf numFmtId="0" fontId="0" fillId="0" borderId="54" xfId="0" applyBorder="1" applyAlignment="1">
      <alignment vertical="center" wrapText="1"/>
    </xf>
    <xf numFmtId="0" fontId="5" fillId="0" borderId="8" xfId="0" applyFont="1" applyBorder="1" applyAlignment="1">
      <alignment vertical="center" wrapText="1"/>
    </xf>
    <xf numFmtId="0" fontId="0" fillId="0" borderId="6" xfId="0" applyBorder="1" applyAlignment="1">
      <alignment horizontal="left" indent="1"/>
    </xf>
    <xf numFmtId="0" fontId="6" fillId="0" borderId="26" xfId="0" applyFont="1" applyBorder="1" applyAlignment="1">
      <alignment vertical="center" wrapText="1"/>
    </xf>
    <xf numFmtId="0" fontId="6" fillId="0" borderId="15" xfId="0" applyFont="1" applyBorder="1" applyAlignment="1">
      <alignment vertical="center" wrapText="1"/>
    </xf>
    <xf numFmtId="0" fontId="6" fillId="0" borderId="17" xfId="0" applyFont="1" applyBorder="1" applyAlignment="1">
      <alignment vertical="center" wrapText="1"/>
    </xf>
    <xf numFmtId="0" fontId="0" fillId="0" borderId="0" xfId="0" applyFill="1" applyAlignment="1">
      <alignment horizontal="left" indent="1"/>
    </xf>
    <xf numFmtId="0" fontId="0" fillId="0" borderId="56" xfId="0" applyBorder="1" applyAlignment="1">
      <alignment vertical="center" wrapText="1"/>
    </xf>
    <xf numFmtId="0" fontId="0" fillId="0" borderId="47" xfId="0" applyBorder="1" applyAlignment="1">
      <alignment vertical="center" wrapText="1"/>
    </xf>
    <xf numFmtId="0" fontId="6" fillId="0" borderId="61" xfId="0" applyFont="1" applyBorder="1" applyAlignment="1">
      <alignment vertical="center" wrapText="1"/>
    </xf>
    <xf numFmtId="0" fontId="0" fillId="0" borderId="48" xfId="0" applyFont="1" applyBorder="1" applyAlignment="1">
      <alignment horizontal="center" vertical="center" wrapText="1"/>
    </xf>
    <xf numFmtId="0" fontId="1" fillId="0" borderId="13" xfId="0" applyFont="1" applyBorder="1" applyAlignment="1">
      <alignment horizontal="center" vertical="center" wrapText="1"/>
    </xf>
    <xf numFmtId="0" fontId="5" fillId="0" borderId="1" xfId="0" applyFont="1" applyBorder="1" applyAlignment="1">
      <alignment vertical="center" wrapText="1"/>
    </xf>
    <xf numFmtId="0" fontId="0" fillId="0" borderId="40" xfId="0" applyBorder="1" applyAlignment="1">
      <alignment vertical="center" wrapText="1"/>
    </xf>
    <xf numFmtId="3" fontId="5" fillId="0" borderId="27" xfId="0" applyNumberFormat="1" applyFont="1" applyBorder="1" applyAlignment="1">
      <alignment horizontal="right" vertical="center" wrapText="1" indent="1"/>
    </xf>
    <xf numFmtId="3" fontId="6" fillId="0" borderId="27" xfId="0" applyNumberFormat="1" applyFont="1" applyBorder="1" applyAlignment="1">
      <alignment horizontal="right" vertical="center" wrapText="1" indent="1"/>
    </xf>
    <xf numFmtId="3" fontId="5" fillId="0" borderId="32" xfId="0" applyNumberFormat="1" applyFont="1" applyBorder="1" applyAlignment="1">
      <alignment horizontal="right" vertical="center" wrapText="1" indent="1"/>
    </xf>
    <xf numFmtId="0" fontId="5" fillId="0" borderId="26" xfId="0" applyFont="1" applyBorder="1" applyAlignment="1">
      <alignment vertical="center" wrapText="1"/>
    </xf>
    <xf numFmtId="0" fontId="5" fillId="0" borderId="23" xfId="0" applyFont="1" applyBorder="1" applyAlignment="1">
      <alignment vertical="center" wrapText="1"/>
    </xf>
    <xf numFmtId="0" fontId="6" fillId="0" borderId="24" xfId="0" applyFont="1" applyBorder="1" applyAlignment="1">
      <alignment vertical="center" wrapText="1"/>
    </xf>
    <xf numFmtId="0" fontId="5" fillId="0" borderId="1" xfId="0" applyFont="1" applyBorder="1" applyAlignment="1">
      <alignment horizontal="left" vertical="center" wrapText="1" indent="1"/>
    </xf>
    <xf numFmtId="0" fontId="6" fillId="0" borderId="40" xfId="0" applyFont="1" applyBorder="1" applyAlignment="1">
      <alignment vertical="center" wrapText="1"/>
    </xf>
    <xf numFmtId="0" fontId="6" fillId="0" borderId="51" xfId="0" applyFont="1" applyBorder="1" applyAlignment="1">
      <alignment vertical="center" wrapText="1"/>
    </xf>
    <xf numFmtId="0" fontId="6" fillId="0" borderId="43" xfId="0" applyFont="1" applyBorder="1" applyAlignment="1">
      <alignment vertical="center" wrapText="1"/>
    </xf>
    <xf numFmtId="0" fontId="0" fillId="0" borderId="73" xfId="0" applyBorder="1" applyAlignment="1">
      <alignment vertical="center" wrapText="1"/>
    </xf>
    <xf numFmtId="0" fontId="6" fillId="0" borderId="27" xfId="0" applyFont="1" applyBorder="1" applyAlignment="1">
      <alignment vertical="center" wrapText="1"/>
    </xf>
    <xf numFmtId="0" fontId="1" fillId="0" borderId="27" xfId="0" applyFont="1" applyBorder="1" applyAlignment="1">
      <alignment horizontal="center" vertical="center" wrapText="1"/>
    </xf>
    <xf numFmtId="0" fontId="1" fillId="0" borderId="1" xfId="0" applyFont="1" applyBorder="1" applyAlignment="1">
      <alignment horizontal="center" vertical="center" wrapText="1"/>
    </xf>
    <xf numFmtId="0" fontId="5" fillId="0" borderId="62" xfId="0" applyFont="1" applyBorder="1" applyAlignment="1">
      <alignment horizontal="left" vertical="center" wrapText="1" indent="1"/>
    </xf>
    <xf numFmtId="0" fontId="6" fillId="0" borderId="73" xfId="0" applyFont="1" applyBorder="1" applyAlignment="1">
      <alignment vertical="center" wrapText="1"/>
    </xf>
    <xf numFmtId="0" fontId="6" fillId="0" borderId="77" xfId="0" applyFont="1" applyBorder="1" applyAlignment="1">
      <alignment vertical="center" wrapText="1"/>
    </xf>
    <xf numFmtId="0" fontId="6" fillId="0" borderId="42" xfId="0" applyFont="1" applyBorder="1" applyAlignment="1">
      <alignment vertical="center" wrapText="1"/>
    </xf>
    <xf numFmtId="0" fontId="0" fillId="0" borderId="42" xfId="0" applyBorder="1" applyAlignment="1">
      <alignment vertical="center" wrapText="1"/>
    </xf>
    <xf numFmtId="3" fontId="6" fillId="0" borderId="51" xfId="0" applyNumberFormat="1" applyFont="1" applyBorder="1" applyAlignment="1">
      <alignment horizontal="right" vertical="center" wrapText="1" indent="1"/>
    </xf>
    <xf numFmtId="0" fontId="0" fillId="0" borderId="23" xfId="0" applyBorder="1" applyAlignment="1">
      <alignment vertical="center" wrapText="1"/>
    </xf>
    <xf numFmtId="0" fontId="5" fillId="0" borderId="32" xfId="0" applyFont="1" applyBorder="1" applyAlignment="1">
      <alignment horizontal="left" vertical="center" wrapText="1"/>
    </xf>
    <xf numFmtId="0" fontId="5" fillId="0" borderId="26" xfId="0" applyFont="1" applyBorder="1" applyAlignment="1">
      <alignment horizontal="left" vertical="center" wrapText="1"/>
    </xf>
    <xf numFmtId="0" fontId="0" fillId="0" borderId="28" xfId="0" applyBorder="1" applyAlignment="1">
      <alignment horizontal="left" vertical="center" wrapText="1"/>
    </xf>
    <xf numFmtId="0" fontId="5" fillId="0" borderId="25" xfId="0" applyFont="1" applyBorder="1" applyAlignment="1">
      <alignment horizontal="left" vertical="center" wrapText="1"/>
    </xf>
    <xf numFmtId="0" fontId="5" fillId="0" borderId="28" xfId="0" applyFont="1" applyBorder="1" applyAlignment="1">
      <alignment horizontal="left" vertical="center" wrapText="1"/>
    </xf>
    <xf numFmtId="0" fontId="0" fillId="0" borderId="0" xfId="0" applyBorder="1" applyAlignment="1">
      <alignment horizontal="left" vertical="center" wrapText="1"/>
    </xf>
    <xf numFmtId="3" fontId="6" fillId="0" borderId="27" xfId="0" applyNumberFormat="1" applyFont="1" applyBorder="1" applyAlignment="1">
      <alignment horizontal="left" vertical="center" wrapText="1" indent="1"/>
    </xf>
    <xf numFmtId="0" fontId="6" fillId="0" borderId="8" xfId="0" applyFont="1" applyBorder="1" applyAlignment="1">
      <alignment vertical="center" wrapText="1"/>
    </xf>
    <xf numFmtId="0" fontId="6" fillId="0" borderId="6" xfId="0" applyFont="1" applyBorder="1" applyAlignment="1">
      <alignment vertical="center" wrapText="1"/>
    </xf>
    <xf numFmtId="3" fontId="6" fillId="0" borderId="23" xfId="0" applyNumberFormat="1" applyFont="1" applyBorder="1" applyAlignment="1">
      <alignment vertical="center" wrapText="1"/>
    </xf>
    <xf numFmtId="0" fontId="6" fillId="0" borderId="20" xfId="0" applyFont="1" applyBorder="1" applyAlignment="1">
      <alignment vertical="center" wrapText="1"/>
    </xf>
    <xf numFmtId="0" fontId="5" fillId="0" borderId="0" xfId="0" applyFont="1" applyBorder="1" applyAlignment="1">
      <alignment horizontal="left" vertical="center" wrapText="1" indent="1"/>
    </xf>
    <xf numFmtId="0" fontId="6" fillId="0" borderId="33" xfId="0" applyFont="1" applyBorder="1" applyAlignment="1">
      <alignment vertical="center" wrapText="1"/>
    </xf>
    <xf numFmtId="0" fontId="6" fillId="0" borderId="0" xfId="0" applyFont="1" applyBorder="1" applyAlignment="1">
      <alignment horizontal="left" vertical="center" wrapText="1" indent="1"/>
    </xf>
    <xf numFmtId="0" fontId="6" fillId="0" borderId="55" xfId="0" applyFont="1" applyBorder="1" applyAlignment="1">
      <alignment vertical="center" wrapText="1"/>
    </xf>
    <xf numFmtId="0" fontId="6" fillId="0" borderId="57" xfId="0" applyFont="1" applyBorder="1" applyAlignment="1">
      <alignment horizontal="left" vertical="center" wrapText="1" indent="1"/>
    </xf>
    <xf numFmtId="0" fontId="6" fillId="0" borderId="9" xfId="0" applyFont="1" applyBorder="1" applyAlignment="1">
      <alignment vertical="center" wrapText="1"/>
    </xf>
    <xf numFmtId="0" fontId="6" fillId="0" borderId="56" xfId="0" applyFont="1" applyBorder="1" applyAlignment="1">
      <alignment vertical="center" wrapText="1"/>
    </xf>
    <xf numFmtId="0" fontId="6" fillId="0" borderId="7" xfId="0" applyFont="1" applyBorder="1" applyAlignment="1">
      <alignment vertical="center" wrapText="1"/>
    </xf>
    <xf numFmtId="0" fontId="5" fillId="0" borderId="62" xfId="0" applyFont="1" applyBorder="1" applyAlignment="1">
      <alignment vertical="center" wrapText="1"/>
    </xf>
    <xf numFmtId="0" fontId="6" fillId="0" borderId="57" xfId="0" applyFont="1" applyBorder="1" applyAlignment="1">
      <alignment vertical="center" wrapText="1"/>
    </xf>
    <xf numFmtId="3" fontId="6" fillId="0" borderId="57" xfId="0" applyNumberFormat="1" applyFont="1" applyBorder="1" applyAlignment="1">
      <alignment horizontal="right" vertical="center" wrapText="1" indent="1"/>
    </xf>
    <xf numFmtId="3" fontId="6" fillId="0" borderId="0" xfId="0" applyNumberFormat="1" applyFont="1" applyBorder="1" applyAlignment="1">
      <alignment horizontal="right" vertical="center" wrapText="1" indent="1"/>
    </xf>
    <xf numFmtId="0" fontId="5" fillId="0" borderId="5" xfId="0" applyFont="1" applyBorder="1" applyAlignment="1">
      <alignment vertical="center" wrapText="1"/>
    </xf>
    <xf numFmtId="0" fontId="0" fillId="0" borderId="77" xfId="0" applyBorder="1" applyAlignment="1">
      <alignment vertical="center" wrapText="1"/>
    </xf>
    <xf numFmtId="0" fontId="5" fillId="0" borderId="63" xfId="0" applyFont="1" applyBorder="1" applyAlignment="1">
      <alignment horizontal="left" vertical="center" wrapText="1"/>
    </xf>
    <xf numFmtId="0" fontId="6" fillId="0" borderId="8" xfId="0" applyFont="1" applyBorder="1" applyAlignment="1">
      <alignment horizontal="left" vertical="center" wrapText="1"/>
    </xf>
    <xf numFmtId="0" fontId="6" fillId="0" borderId="6" xfId="0" applyFont="1" applyBorder="1" applyAlignment="1">
      <alignment horizontal="left" vertical="center" wrapText="1"/>
    </xf>
    <xf numFmtId="0" fontId="0" fillId="0" borderId="6" xfId="0" applyBorder="1" applyAlignment="1">
      <alignment horizontal="left" vertical="center" wrapText="1"/>
    </xf>
    <xf numFmtId="0" fontId="6" fillId="0" borderId="41" xfId="0" applyFont="1" applyBorder="1" applyAlignment="1">
      <alignment horizontal="left" vertical="center" wrapText="1"/>
    </xf>
    <xf numFmtId="0" fontId="6" fillId="0" borderId="16" xfId="0" applyFont="1" applyBorder="1" applyAlignment="1">
      <alignment horizontal="left" vertical="center" wrapText="1"/>
    </xf>
    <xf numFmtId="0" fontId="6" fillId="0" borderId="10" xfId="0" applyFont="1" applyBorder="1" applyAlignment="1">
      <alignment horizontal="left" vertical="center" wrapText="1"/>
    </xf>
    <xf numFmtId="0" fontId="0" fillId="0" borderId="48" xfId="0" applyBorder="1" applyAlignment="1">
      <alignment horizontal="left" vertical="center" wrapText="1"/>
    </xf>
    <xf numFmtId="0" fontId="6" fillId="0" borderId="48" xfId="0" applyFont="1" applyBorder="1" applyAlignment="1">
      <alignment horizontal="left" vertical="center" wrapText="1"/>
    </xf>
    <xf numFmtId="0" fontId="6" fillId="0" borderId="21" xfId="0" applyFont="1" applyBorder="1" applyAlignment="1">
      <alignment horizontal="left" vertical="center" wrapText="1"/>
    </xf>
    <xf numFmtId="0" fontId="6" fillId="0" borderId="13" xfId="0" applyFont="1" applyFill="1" applyBorder="1" applyAlignment="1">
      <alignment horizontal="left" vertical="center" wrapText="1"/>
    </xf>
    <xf numFmtId="0" fontId="6" fillId="0" borderId="37" xfId="0" applyFont="1" applyBorder="1" applyAlignment="1">
      <alignment horizontal="left" vertical="center" wrapText="1"/>
    </xf>
    <xf numFmtId="0" fontId="6" fillId="0" borderId="36" xfId="0" applyFont="1" applyBorder="1" applyAlignment="1">
      <alignment horizontal="left" vertical="center" wrapText="1"/>
    </xf>
    <xf numFmtId="0" fontId="5" fillId="0" borderId="52" xfId="0" applyFont="1" applyBorder="1" applyAlignment="1">
      <alignment horizontal="left" vertical="center" wrapText="1"/>
    </xf>
    <xf numFmtId="0" fontId="0" fillId="0" borderId="37" xfId="0" applyBorder="1" applyAlignment="1">
      <alignment horizontal="left" vertical="center" wrapText="1"/>
    </xf>
    <xf numFmtId="0" fontId="6" fillId="0" borderId="13" xfId="0" applyFont="1" applyBorder="1" applyAlignment="1">
      <alignment horizontal="left" vertical="center" wrapText="1"/>
    </xf>
    <xf numFmtId="0" fontId="0" fillId="0" borderId="34" xfId="0" applyBorder="1" applyAlignment="1">
      <alignment horizontal="left" vertical="center" wrapText="1"/>
    </xf>
    <xf numFmtId="0" fontId="6" fillId="0" borderId="29" xfId="0" applyFont="1" applyBorder="1" applyAlignment="1">
      <alignment horizontal="left" vertical="center" wrapText="1"/>
    </xf>
    <xf numFmtId="0" fontId="6" fillId="0" borderId="63" xfId="0" applyFont="1" applyBorder="1" applyAlignment="1">
      <alignment horizontal="left" vertical="center" wrapText="1"/>
    </xf>
    <xf numFmtId="0" fontId="6" fillId="0" borderId="26" xfId="0" applyFont="1" applyBorder="1" applyAlignment="1">
      <alignment horizontal="left" vertical="center" wrapText="1"/>
    </xf>
    <xf numFmtId="0" fontId="6" fillId="0" borderId="15" xfId="0" applyFont="1" applyBorder="1" applyAlignment="1">
      <alignment horizontal="left" vertical="center" wrapText="1"/>
    </xf>
    <xf numFmtId="0" fontId="6" fillId="0" borderId="18" xfId="0" applyFont="1" applyBorder="1" applyAlignment="1">
      <alignment horizontal="left" vertical="center" wrapText="1"/>
    </xf>
    <xf numFmtId="0" fontId="6" fillId="0" borderId="20" xfId="0" applyFont="1" applyBorder="1" applyAlignment="1">
      <alignment horizontal="left" vertical="center" wrapText="1"/>
    </xf>
    <xf numFmtId="0" fontId="0" fillId="0" borderId="63" xfId="0" applyBorder="1" applyAlignment="1">
      <alignment horizontal="left" vertical="center" wrapText="1"/>
    </xf>
    <xf numFmtId="0" fontId="6" fillId="0" borderId="44" xfId="0" applyFont="1" applyBorder="1" applyAlignment="1">
      <alignment horizontal="left" vertical="center" wrapText="1"/>
    </xf>
    <xf numFmtId="0" fontId="6" fillId="0" borderId="25" xfId="0" applyFont="1" applyBorder="1" applyAlignment="1">
      <alignment horizontal="left" vertical="center" wrapText="1"/>
    </xf>
    <xf numFmtId="0" fontId="0" fillId="0" borderId="21" xfId="0" applyBorder="1" applyAlignment="1">
      <alignment horizontal="left" vertical="center" wrapText="1"/>
    </xf>
    <xf numFmtId="0" fontId="6" fillId="0" borderId="57" xfId="0" applyFont="1" applyBorder="1" applyAlignment="1">
      <alignment horizontal="left" vertical="center" wrapText="1"/>
    </xf>
    <xf numFmtId="0" fontId="6" fillId="0" borderId="0" xfId="0" applyFont="1" applyBorder="1" applyAlignment="1">
      <alignment horizontal="left" vertical="center" wrapText="1"/>
    </xf>
    <xf numFmtId="0" fontId="6" fillId="0" borderId="45" xfId="0" applyFont="1" applyBorder="1" applyAlignment="1">
      <alignment horizontal="left" vertical="center" wrapText="1"/>
    </xf>
    <xf numFmtId="0" fontId="11" fillId="0" borderId="27" xfId="0" applyFont="1" applyBorder="1" applyAlignment="1">
      <alignment horizontal="left" vertical="center" wrapText="1"/>
    </xf>
    <xf numFmtId="0" fontId="11" fillId="0" borderId="32" xfId="0" applyFont="1" applyBorder="1" applyAlignment="1">
      <alignment horizontal="left" vertical="center" wrapText="1"/>
    </xf>
    <xf numFmtId="0" fontId="5" fillId="0" borderId="27" xfId="0" applyFont="1" applyBorder="1" applyAlignment="1">
      <alignment horizontal="left" vertical="center" wrapText="1"/>
    </xf>
    <xf numFmtId="0" fontId="5" fillId="0" borderId="0" xfId="0" applyFont="1" applyAlignment="1">
      <alignment horizontal="left" vertical="center" wrapText="1"/>
    </xf>
    <xf numFmtId="0" fontId="5" fillId="0" borderId="2" xfId="0" applyFont="1" applyBorder="1" applyAlignment="1">
      <alignment horizontal="left" vertical="center" wrapText="1"/>
    </xf>
    <xf numFmtId="0" fontId="6" fillId="0" borderId="9" xfId="0" applyFont="1" applyBorder="1" applyAlignment="1">
      <alignment horizontal="left" vertical="center" wrapText="1"/>
    </xf>
    <xf numFmtId="0" fontId="6" fillId="0" borderId="7" xfId="0" applyFont="1" applyBorder="1" applyAlignment="1">
      <alignment horizontal="left" vertical="center" wrapText="1"/>
    </xf>
    <xf numFmtId="0" fontId="0" fillId="0" borderId="7" xfId="0" applyBorder="1" applyAlignment="1">
      <alignment horizontal="left" vertical="center" wrapText="1"/>
    </xf>
    <xf numFmtId="0" fontId="6" fillId="0" borderId="61" xfId="0" applyFont="1" applyBorder="1" applyAlignment="1">
      <alignment horizontal="left" vertical="center" wrapText="1"/>
    </xf>
    <xf numFmtId="0" fontId="6" fillId="0" borderId="17" xfId="0" applyFont="1" applyBorder="1" applyAlignment="1">
      <alignment horizontal="left" vertical="center" wrapText="1"/>
    </xf>
    <xf numFmtId="0" fontId="6" fillId="0" borderId="50" xfId="0" applyFont="1" applyBorder="1" applyAlignment="1">
      <alignment horizontal="left" vertical="center" wrapText="1"/>
    </xf>
    <xf numFmtId="0" fontId="6" fillId="0" borderId="19" xfId="0" applyFont="1" applyBorder="1" applyAlignment="1">
      <alignment horizontal="left" vertical="center" wrapText="1"/>
    </xf>
    <xf numFmtId="0" fontId="0" fillId="0" borderId="50" xfId="0" applyBorder="1" applyAlignment="1">
      <alignment horizontal="left" vertical="center" wrapText="1"/>
    </xf>
    <xf numFmtId="0" fontId="0" fillId="0" borderId="19" xfId="0" applyBorder="1" applyAlignment="1">
      <alignment horizontal="left" vertical="center" wrapText="1"/>
    </xf>
    <xf numFmtId="0" fontId="0" fillId="0" borderId="49" xfId="0" applyBorder="1" applyAlignment="1">
      <alignment horizontal="left" vertical="center" wrapText="1"/>
    </xf>
    <xf numFmtId="0" fontId="0" fillId="0" borderId="54" xfId="0" applyBorder="1" applyAlignment="1">
      <alignment horizontal="left" vertical="center" wrapText="1"/>
    </xf>
    <xf numFmtId="0" fontId="6" fillId="0" borderId="12" xfId="0" applyFont="1" applyFill="1" applyBorder="1" applyAlignment="1">
      <alignment horizontal="left" vertical="center" wrapText="1"/>
    </xf>
    <xf numFmtId="0" fontId="6" fillId="0" borderId="14" xfId="0" applyFont="1" applyFill="1" applyBorder="1" applyAlignment="1">
      <alignment horizontal="left" vertical="center" wrapText="1"/>
    </xf>
    <xf numFmtId="0" fontId="5" fillId="0" borderId="7" xfId="0" applyFont="1" applyBorder="1" applyAlignment="1">
      <alignment horizontal="left" vertical="center" wrapText="1"/>
    </xf>
    <xf numFmtId="0" fontId="6" fillId="0" borderId="54" xfId="0" applyFont="1" applyBorder="1" applyAlignment="1">
      <alignment horizontal="left" vertical="center" wrapText="1"/>
    </xf>
    <xf numFmtId="0" fontId="0" fillId="0" borderId="14" xfId="0" applyBorder="1" applyAlignment="1">
      <alignment horizontal="left" vertical="center" wrapText="1"/>
    </xf>
    <xf numFmtId="0" fontId="0" fillId="0" borderId="17" xfId="0" applyBorder="1" applyAlignment="1">
      <alignment horizontal="left" vertical="center" wrapText="1"/>
    </xf>
    <xf numFmtId="0" fontId="6" fillId="0" borderId="14" xfId="0" applyFont="1" applyBorder="1" applyAlignment="1">
      <alignment horizontal="left" vertical="center" wrapText="1"/>
    </xf>
    <xf numFmtId="0" fontId="5" fillId="0" borderId="65" xfId="0" applyFont="1" applyBorder="1" applyAlignment="1">
      <alignment horizontal="left" vertical="center" wrapText="1"/>
    </xf>
    <xf numFmtId="0" fontId="5" fillId="0" borderId="49" xfId="0" applyFont="1" applyBorder="1" applyAlignment="1">
      <alignment horizontal="left" vertical="center" wrapText="1"/>
    </xf>
    <xf numFmtId="0" fontId="5" fillId="0" borderId="19" xfId="0" applyFont="1" applyBorder="1" applyAlignment="1">
      <alignment horizontal="left" vertical="center" wrapText="1"/>
    </xf>
    <xf numFmtId="0" fontId="1" fillId="0" borderId="0" xfId="0" applyFont="1" applyAlignment="1">
      <alignment horizontal="left" vertical="center" wrapText="1"/>
    </xf>
    <xf numFmtId="0" fontId="5" fillId="0" borderId="9" xfId="0" applyFont="1" applyBorder="1" applyAlignment="1">
      <alignment horizontal="left" vertical="center" wrapText="1"/>
    </xf>
    <xf numFmtId="0" fontId="6" fillId="0" borderId="22" xfId="0" applyFont="1" applyBorder="1" applyAlignment="1">
      <alignment horizontal="left" vertical="center" wrapText="1"/>
    </xf>
    <xf numFmtId="0" fontId="6" fillId="0" borderId="12" xfId="0" applyFont="1" applyBorder="1" applyAlignment="1">
      <alignment horizontal="left" vertical="center" wrapText="1"/>
    </xf>
    <xf numFmtId="0" fontId="0" fillId="0" borderId="18" xfId="0" applyBorder="1" applyAlignment="1">
      <alignment horizontal="left" vertical="center" wrapText="1"/>
    </xf>
    <xf numFmtId="0" fontId="0" fillId="0" borderId="44" xfId="0" applyBorder="1" applyAlignment="1">
      <alignment horizontal="left" vertical="center" wrapText="1"/>
    </xf>
    <xf numFmtId="0" fontId="6" fillId="0" borderId="62" xfId="0" applyFont="1" applyBorder="1" applyAlignment="1">
      <alignment horizontal="left" vertical="center" wrapText="1"/>
    </xf>
    <xf numFmtId="0" fontId="6" fillId="0" borderId="2" xfId="0" applyFont="1" applyBorder="1" applyAlignment="1">
      <alignment horizontal="left" vertical="center" wrapText="1"/>
    </xf>
    <xf numFmtId="0" fontId="0" fillId="0" borderId="4" xfId="0" applyBorder="1" applyAlignment="1">
      <alignment horizontal="left" vertical="center" wrapText="1"/>
    </xf>
    <xf numFmtId="0" fontId="5" fillId="0" borderId="11" xfId="0" applyFont="1" applyBorder="1" applyAlignment="1">
      <alignment horizontal="left" vertical="center" wrapText="1"/>
    </xf>
    <xf numFmtId="0" fontId="0" fillId="0" borderId="2" xfId="0" applyBorder="1" applyAlignment="1">
      <alignment horizontal="left" vertical="center" wrapText="1"/>
    </xf>
    <xf numFmtId="0" fontId="6" fillId="0" borderId="4" xfId="0" applyFont="1" applyBorder="1" applyAlignment="1">
      <alignment horizontal="left" vertical="center" wrapText="1"/>
    </xf>
    <xf numFmtId="0" fontId="6" fillId="0" borderId="55" xfId="0" applyFont="1" applyBorder="1" applyAlignment="1">
      <alignment horizontal="left" vertical="center" wrapText="1"/>
    </xf>
    <xf numFmtId="0" fontId="0" fillId="0" borderId="56" xfId="0" applyBorder="1" applyAlignment="1">
      <alignment horizontal="left" vertical="center" wrapText="1"/>
    </xf>
    <xf numFmtId="0" fontId="0" fillId="0" borderId="47" xfId="0" applyBorder="1" applyAlignment="1">
      <alignment horizontal="left" vertical="center" wrapText="1"/>
    </xf>
    <xf numFmtId="0" fontId="6" fillId="0" borderId="40" xfId="0" applyFont="1" applyBorder="1" applyAlignment="1">
      <alignment horizontal="left" vertical="center" wrapText="1"/>
    </xf>
    <xf numFmtId="0" fontId="6" fillId="0" borderId="56" xfId="0" applyFont="1" applyBorder="1" applyAlignment="1">
      <alignment horizontal="left" vertical="center" wrapText="1"/>
    </xf>
    <xf numFmtId="0" fontId="0" fillId="0" borderId="65" xfId="0" applyBorder="1" applyAlignment="1">
      <alignment horizontal="left" vertical="center" wrapText="1"/>
    </xf>
    <xf numFmtId="0" fontId="5" fillId="0" borderId="0" xfId="0" applyFont="1" applyBorder="1" applyAlignment="1">
      <alignment horizontal="left" vertical="center" wrapText="1"/>
    </xf>
    <xf numFmtId="0" fontId="5" fillId="0" borderId="20" xfId="0" applyFont="1" applyBorder="1" applyAlignment="1">
      <alignment horizontal="left" vertical="center" wrapText="1"/>
    </xf>
    <xf numFmtId="0" fontId="5" fillId="0" borderId="53" xfId="0" applyFont="1" applyBorder="1" applyAlignment="1">
      <alignment horizontal="left" vertical="center" wrapText="1"/>
    </xf>
    <xf numFmtId="0" fontId="6" fillId="0" borderId="23" xfId="0" applyFont="1" applyBorder="1" applyAlignment="1">
      <alignment horizontal="left" vertical="center" wrapText="1"/>
    </xf>
    <xf numFmtId="0" fontId="5" fillId="0" borderId="55" xfId="0" applyFont="1" applyBorder="1" applyAlignment="1">
      <alignment horizontal="left" vertical="center" wrapText="1"/>
    </xf>
    <xf numFmtId="0" fontId="17" fillId="0" borderId="27" xfId="0" applyFont="1" applyBorder="1" applyAlignment="1">
      <alignment horizontal="left" vertical="center" wrapText="1"/>
    </xf>
    <xf numFmtId="0" fontId="6" fillId="0" borderId="24" xfId="0" applyFont="1" applyBorder="1" applyAlignment="1">
      <alignment horizontal="left" vertical="center" wrapText="1"/>
    </xf>
    <xf numFmtId="0" fontId="0" fillId="0" borderId="43" xfId="0" applyBorder="1" applyAlignment="1">
      <alignment horizontal="left" vertical="center" wrapText="1"/>
    </xf>
    <xf numFmtId="0" fontId="6" fillId="0" borderId="47" xfId="0" applyFont="1" applyBorder="1" applyAlignment="1">
      <alignment vertical="center" wrapText="1"/>
    </xf>
    <xf numFmtId="3" fontId="6" fillId="0" borderId="45" xfId="0" applyNumberFormat="1" applyFont="1" applyBorder="1" applyAlignment="1">
      <alignment horizontal="right" vertical="center" wrapText="1" indent="1"/>
    </xf>
    <xf numFmtId="3" fontId="11" fillId="0" borderId="27" xfId="0" applyNumberFormat="1" applyFont="1" applyBorder="1" applyAlignment="1">
      <alignment horizontal="right" vertical="center" wrapText="1" indent="1"/>
    </xf>
    <xf numFmtId="3" fontId="17" fillId="0" borderId="27" xfId="0" applyNumberFormat="1" applyFont="1" applyBorder="1" applyAlignment="1">
      <alignment horizontal="right" vertical="center" wrapText="1" indent="1"/>
    </xf>
    <xf numFmtId="0" fontId="6" fillId="0" borderId="45" xfId="0" applyFont="1" applyBorder="1" applyAlignment="1">
      <alignment vertical="center" wrapText="1"/>
    </xf>
    <xf numFmtId="0" fontId="11" fillId="0" borderId="23" xfId="0" applyFont="1" applyBorder="1" applyAlignment="1">
      <alignment vertical="center" wrapText="1"/>
    </xf>
    <xf numFmtId="0" fontId="11" fillId="0" borderId="27" xfId="0" applyFont="1" applyBorder="1" applyAlignment="1">
      <alignment vertical="center" wrapText="1"/>
    </xf>
    <xf numFmtId="0" fontId="6" fillId="0" borderId="1" xfId="0" applyFont="1" applyBorder="1" applyAlignment="1">
      <alignment horizontal="left" vertical="center" wrapText="1"/>
    </xf>
    <xf numFmtId="0" fontId="6" fillId="0" borderId="41" xfId="0" applyFont="1" applyBorder="1" applyAlignment="1">
      <alignment vertical="center" wrapText="1"/>
    </xf>
    <xf numFmtId="0" fontId="6" fillId="0" borderId="77" xfId="0" applyFont="1" applyBorder="1" applyAlignment="1">
      <alignment horizontal="left" vertical="center" wrapText="1"/>
    </xf>
    <xf numFmtId="3" fontId="6" fillId="0" borderId="73" xfId="0" applyNumberFormat="1" applyFont="1" applyBorder="1" applyAlignment="1">
      <alignment vertical="center" wrapText="1"/>
    </xf>
    <xf numFmtId="3" fontId="6" fillId="0" borderId="73" xfId="0" applyNumberFormat="1" applyFont="1" applyBorder="1" applyAlignment="1">
      <alignment horizontal="right" vertical="center" wrapText="1" indent="1"/>
    </xf>
    <xf numFmtId="3" fontId="0" fillId="0" borderId="0" xfId="0" applyNumberFormat="1" applyAlignment="1">
      <alignment horizontal="right" vertical="center" wrapText="1" indent="1"/>
    </xf>
    <xf numFmtId="3" fontId="5" fillId="0" borderId="73" xfId="0" applyNumberFormat="1" applyFont="1" applyBorder="1" applyAlignment="1">
      <alignment horizontal="right" vertical="center" wrapText="1" indent="1"/>
    </xf>
    <xf numFmtId="0" fontId="11" fillId="0" borderId="9" xfId="0" applyFont="1" applyBorder="1" applyAlignment="1">
      <alignment horizontal="left" vertical="center" wrapText="1"/>
    </xf>
    <xf numFmtId="0" fontId="11" fillId="0" borderId="2" xfId="0" applyFont="1" applyBorder="1" applyAlignment="1">
      <alignment horizontal="left" vertical="center" wrapText="1"/>
    </xf>
    <xf numFmtId="0" fontId="11" fillId="0" borderId="0" xfId="0" applyFont="1" applyBorder="1" applyAlignment="1">
      <alignment horizontal="left" vertical="center" wrapText="1"/>
    </xf>
    <xf numFmtId="0" fontId="11" fillId="0" borderId="8" xfId="0" applyFont="1" applyBorder="1" applyAlignment="1">
      <alignment vertical="center" wrapText="1"/>
    </xf>
    <xf numFmtId="0" fontId="11" fillId="0" borderId="6" xfId="0" applyFont="1" applyBorder="1" applyAlignment="1">
      <alignment horizontal="left" vertical="center" wrapText="1"/>
    </xf>
    <xf numFmtId="0" fontId="11" fillId="0" borderId="3" xfId="0" applyFont="1" applyBorder="1" applyAlignment="1">
      <alignment horizontal="left" vertical="center" wrapText="1"/>
    </xf>
    <xf numFmtId="3" fontId="6" fillId="0" borderId="8" xfId="0" applyNumberFormat="1" applyFont="1" applyBorder="1" applyAlignment="1">
      <alignment horizontal="right" vertical="center" wrapText="1" indent="1"/>
    </xf>
    <xf numFmtId="3" fontId="6" fillId="0" borderId="6" xfId="0" applyNumberFormat="1" applyFont="1" applyBorder="1" applyAlignment="1">
      <alignment horizontal="right" vertical="center" wrapText="1" indent="1"/>
    </xf>
    <xf numFmtId="3" fontId="5" fillId="0" borderId="6" xfId="0" applyNumberFormat="1" applyFont="1" applyBorder="1" applyAlignment="1">
      <alignment horizontal="right" vertical="center" wrapText="1" indent="1"/>
    </xf>
    <xf numFmtId="3" fontId="5" fillId="0" borderId="3" xfId="0" applyNumberFormat="1" applyFont="1" applyBorder="1" applyAlignment="1">
      <alignment horizontal="right" vertical="center" wrapText="1" indent="1"/>
    </xf>
    <xf numFmtId="3" fontId="6" fillId="0" borderId="3" xfId="0" applyNumberFormat="1" applyFont="1" applyBorder="1" applyAlignment="1">
      <alignment horizontal="right" vertical="center" wrapText="1" indent="1"/>
    </xf>
    <xf numFmtId="3" fontId="5" fillId="0" borderId="38" xfId="0" applyNumberFormat="1" applyFont="1" applyBorder="1" applyAlignment="1">
      <alignment horizontal="right" vertical="center" wrapText="1" indent="1"/>
    </xf>
    <xf numFmtId="3" fontId="6" fillId="0" borderId="46" xfId="0" applyNumberFormat="1" applyFont="1" applyBorder="1" applyAlignment="1">
      <alignment horizontal="right" vertical="center" wrapText="1" indent="1"/>
    </xf>
    <xf numFmtId="0" fontId="11" fillId="0" borderId="11" xfId="0" applyFont="1" applyBorder="1" applyAlignment="1">
      <alignment horizontal="left" vertical="center" wrapText="1"/>
    </xf>
    <xf numFmtId="0" fontId="6" fillId="0" borderId="30" xfId="0" applyFont="1" applyBorder="1" applyAlignment="1">
      <alignment horizontal="left" vertical="center" wrapText="1"/>
    </xf>
    <xf numFmtId="0" fontId="6" fillId="0" borderId="11" xfId="0" applyFont="1" applyBorder="1" applyAlignment="1">
      <alignment horizontal="left" vertical="center" wrapText="1"/>
    </xf>
    <xf numFmtId="0" fontId="11" fillId="0" borderId="11" xfId="0" applyFont="1" applyBorder="1" applyAlignment="1">
      <alignment horizontal="left" vertical="center" wrapText="1" indent="1"/>
    </xf>
    <xf numFmtId="0" fontId="5" fillId="0" borderId="57" xfId="0" applyFont="1" applyBorder="1" applyAlignment="1">
      <alignment horizontal="left" vertical="center" wrapText="1"/>
    </xf>
    <xf numFmtId="0" fontId="17" fillId="0" borderId="30" xfId="0" applyFont="1" applyBorder="1" applyAlignment="1">
      <alignment horizontal="left" vertical="center" wrapText="1"/>
    </xf>
    <xf numFmtId="0" fontId="5" fillId="0" borderId="1" xfId="0" applyFont="1" applyBorder="1" applyAlignment="1">
      <alignment horizontal="left" vertical="center" wrapText="1"/>
    </xf>
    <xf numFmtId="0" fontId="11" fillId="0" borderId="8" xfId="0" applyFont="1" applyBorder="1" applyAlignment="1">
      <alignment horizontal="left" vertical="center" wrapText="1"/>
    </xf>
    <xf numFmtId="0" fontId="11" fillId="0" borderId="1" xfId="0" applyFont="1" applyBorder="1" applyAlignment="1">
      <alignment horizontal="left" vertical="center" wrapText="1"/>
    </xf>
    <xf numFmtId="0" fontId="6" fillId="0" borderId="38" xfId="0" applyFont="1" applyBorder="1" applyAlignment="1">
      <alignment horizontal="left" vertical="center" wrapText="1"/>
    </xf>
    <xf numFmtId="0" fontId="6" fillId="0" borderId="3" xfId="0" applyFont="1" applyBorder="1" applyAlignment="1">
      <alignment vertical="center" wrapText="1"/>
    </xf>
    <xf numFmtId="0" fontId="11" fillId="0" borderId="38" xfId="0" applyFont="1" applyBorder="1" applyAlignment="1">
      <alignment horizontal="left" vertical="center" wrapText="1"/>
    </xf>
    <xf numFmtId="0" fontId="0" fillId="0" borderId="38" xfId="0" applyBorder="1" applyAlignment="1">
      <alignment horizontal="left" vertical="center" wrapText="1"/>
    </xf>
    <xf numFmtId="0" fontId="6" fillId="0" borderId="3" xfId="0" applyFont="1" applyBorder="1" applyAlignment="1">
      <alignment horizontal="left" vertical="center" wrapText="1"/>
    </xf>
    <xf numFmtId="0" fontId="6" fillId="0" borderId="46" xfId="0" applyFont="1" applyBorder="1" applyAlignment="1">
      <alignment horizontal="left" vertical="center" wrapText="1"/>
    </xf>
    <xf numFmtId="0" fontId="6" fillId="0" borderId="2" xfId="0" applyFont="1" applyBorder="1" applyAlignment="1">
      <alignment vertical="center" wrapText="1"/>
    </xf>
    <xf numFmtId="0" fontId="0" fillId="0" borderId="23" xfId="0" applyBorder="1" applyAlignment="1">
      <alignment vertical="center" wrapText="1"/>
    </xf>
    <xf numFmtId="0" fontId="0" fillId="0" borderId="26" xfId="0" applyBorder="1" applyAlignment="1">
      <alignment vertical="center" wrapText="1"/>
    </xf>
    <xf numFmtId="0" fontId="0" fillId="0" borderId="27" xfId="0" applyBorder="1" applyAlignment="1">
      <alignment vertical="center" wrapText="1"/>
    </xf>
    <xf numFmtId="0" fontId="0" fillId="0" borderId="32" xfId="0" applyBorder="1" applyAlignment="1">
      <alignment vertical="center" wrapText="1"/>
    </xf>
    <xf numFmtId="0" fontId="5" fillId="0" borderId="32" xfId="0" applyFont="1" applyBorder="1" applyAlignment="1">
      <alignment horizontal="left" vertical="center" wrapText="1"/>
    </xf>
    <xf numFmtId="0" fontId="6" fillId="0" borderId="32" xfId="0" applyFont="1" applyBorder="1" applyAlignment="1">
      <alignment horizontal="left" vertical="center" wrapText="1"/>
    </xf>
    <xf numFmtId="0" fontId="0" fillId="0" borderId="6" xfId="0" applyBorder="1" applyAlignment="1">
      <alignment horizontal="left" vertical="center" wrapText="1"/>
    </xf>
    <xf numFmtId="0" fontId="0" fillId="0" borderId="3" xfId="0" applyBorder="1" applyAlignment="1">
      <alignment horizontal="left" vertical="center" wrapText="1"/>
    </xf>
    <xf numFmtId="3" fontId="6" fillId="0" borderId="23" xfId="0" applyNumberFormat="1" applyFont="1" applyBorder="1" applyAlignment="1">
      <alignment horizontal="right" vertical="center" wrapText="1" indent="1"/>
    </xf>
    <xf numFmtId="0" fontId="0" fillId="0" borderId="32" xfId="0" applyBorder="1" applyAlignment="1">
      <alignment horizontal="left" vertical="center" wrapText="1"/>
    </xf>
    <xf numFmtId="0" fontId="5" fillId="0" borderId="30" xfId="0" applyFont="1" applyBorder="1" applyAlignment="1">
      <alignment horizontal="left" vertical="center" wrapText="1" indent="1"/>
    </xf>
    <xf numFmtId="0" fontId="5" fillId="0" borderId="27" xfId="0" applyFont="1" applyBorder="1" applyAlignment="1">
      <alignment horizontal="left" vertical="center" wrapText="1" indent="1"/>
    </xf>
    <xf numFmtId="0" fontId="0" fillId="0" borderId="28" xfId="0" applyBorder="1" applyAlignment="1">
      <alignment vertical="center" wrapText="1"/>
    </xf>
    <xf numFmtId="0" fontId="0" fillId="0" borderId="23" xfId="0" applyBorder="1" applyAlignment="1">
      <alignment vertical="center" wrapText="1"/>
    </xf>
    <xf numFmtId="0" fontId="0" fillId="0" borderId="32" xfId="0" applyBorder="1" applyAlignment="1">
      <alignment vertical="center" wrapText="1"/>
    </xf>
    <xf numFmtId="0" fontId="0" fillId="0" borderId="6" xfId="0" applyBorder="1" applyAlignment="1">
      <alignment vertical="center" wrapText="1"/>
    </xf>
    <xf numFmtId="0" fontId="0" fillId="0" borderId="0" xfId="0" applyBorder="1" applyAlignment="1">
      <alignment horizontal="left" vertical="center" wrapText="1"/>
    </xf>
    <xf numFmtId="0" fontId="5" fillId="0" borderId="32" xfId="0" applyFont="1" applyBorder="1" applyAlignment="1">
      <alignment horizontal="left" vertical="center" wrapText="1"/>
    </xf>
    <xf numFmtId="0" fontId="6" fillId="0" borderId="32" xfId="0" applyFont="1" applyBorder="1" applyAlignment="1">
      <alignment horizontal="left" vertical="center" wrapText="1"/>
    </xf>
    <xf numFmtId="0" fontId="0" fillId="0" borderId="32"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4" xfId="0" applyBorder="1" applyAlignment="1">
      <alignment horizontal="left" vertical="center" wrapText="1"/>
    </xf>
    <xf numFmtId="0" fontId="0" fillId="0" borderId="45" xfId="0" applyBorder="1" applyAlignment="1">
      <alignment horizontal="left" vertical="center" wrapText="1"/>
    </xf>
    <xf numFmtId="3" fontId="6" fillId="0" borderId="23" xfId="0" applyNumberFormat="1" applyFont="1" applyBorder="1" applyAlignment="1">
      <alignment horizontal="right" vertical="center" wrapText="1" indent="1"/>
    </xf>
    <xf numFmtId="0" fontId="6" fillId="0" borderId="40" xfId="0" applyFont="1" applyBorder="1" applyAlignment="1">
      <alignment horizontal="left" vertical="center" wrapText="1"/>
    </xf>
    <xf numFmtId="0" fontId="6" fillId="0" borderId="51" xfId="0" applyFont="1" applyBorder="1" applyAlignment="1">
      <alignment horizontal="left" vertical="center" wrapText="1"/>
    </xf>
    <xf numFmtId="0" fontId="0" fillId="0" borderId="56" xfId="0" applyBorder="1" applyAlignment="1">
      <alignment horizontal="left" vertical="center" wrapText="1"/>
    </xf>
    <xf numFmtId="0" fontId="0" fillId="0" borderId="47" xfId="0" applyBorder="1" applyAlignment="1">
      <alignment horizontal="left" vertical="center" wrapText="1"/>
    </xf>
    <xf numFmtId="0" fontId="6" fillId="0" borderId="18" xfId="0" applyFont="1" applyBorder="1" applyAlignment="1">
      <alignment horizontal="left" vertical="center" wrapText="1"/>
    </xf>
    <xf numFmtId="0" fontId="6" fillId="0" borderId="10" xfId="0" applyFont="1" applyBorder="1" applyAlignment="1">
      <alignment horizontal="left" vertical="center" wrapText="1"/>
    </xf>
    <xf numFmtId="0" fontId="6" fillId="0" borderId="19" xfId="0" applyFont="1" applyBorder="1" applyAlignment="1">
      <alignment horizontal="left" vertical="center" wrapText="1"/>
    </xf>
    <xf numFmtId="0" fontId="6" fillId="0" borderId="50" xfId="0" applyFont="1" applyBorder="1" applyAlignment="1">
      <alignment horizontal="left" vertical="center" wrapText="1"/>
    </xf>
    <xf numFmtId="0" fontId="6" fillId="0" borderId="61" xfId="0" applyFont="1" applyBorder="1" applyAlignment="1">
      <alignment horizontal="left" vertical="center" wrapText="1"/>
    </xf>
    <xf numFmtId="0" fontId="6" fillId="0" borderId="49" xfId="0" applyFont="1" applyBorder="1" applyAlignment="1">
      <alignment horizontal="left" vertical="center" wrapText="1"/>
    </xf>
    <xf numFmtId="0" fontId="6" fillId="0" borderId="16" xfId="0" applyFont="1" applyBorder="1" applyAlignment="1">
      <alignment horizontal="left" vertical="center" wrapText="1"/>
    </xf>
    <xf numFmtId="0" fontId="6" fillId="0" borderId="48" xfId="0" applyFont="1" applyBorder="1" applyAlignment="1">
      <alignment horizontal="left" vertical="center" wrapText="1"/>
    </xf>
    <xf numFmtId="0" fontId="6" fillId="0" borderId="17" xfId="0" applyFont="1" applyBorder="1" applyAlignment="1">
      <alignment horizontal="left" vertical="center" wrapText="1"/>
    </xf>
    <xf numFmtId="0" fontId="6" fillId="0" borderId="54" xfId="0" applyFont="1" applyBorder="1" applyAlignment="1">
      <alignment horizontal="left" vertical="center" wrapText="1"/>
    </xf>
    <xf numFmtId="0" fontId="6" fillId="0" borderId="65" xfId="0" applyFont="1" applyBorder="1" applyAlignment="1">
      <alignment horizontal="left" vertical="center" wrapText="1"/>
    </xf>
    <xf numFmtId="0" fontId="6" fillId="0" borderId="22" xfId="0" applyFont="1" applyBorder="1" applyAlignment="1">
      <alignment horizontal="left" vertical="center" wrapText="1"/>
    </xf>
    <xf numFmtId="0" fontId="6" fillId="0" borderId="15" xfId="0" applyFont="1" applyBorder="1" applyAlignment="1">
      <alignment horizontal="left" vertical="center" wrapText="1"/>
    </xf>
    <xf numFmtId="0" fontId="6" fillId="0" borderId="20" xfId="0" applyFont="1" applyBorder="1" applyAlignment="1">
      <alignment horizontal="left" vertical="center" wrapText="1"/>
    </xf>
    <xf numFmtId="0" fontId="0" fillId="0" borderId="0" xfId="0" applyBorder="1" applyAlignment="1">
      <alignment vertical="center" wrapText="1"/>
    </xf>
    <xf numFmtId="0" fontId="5" fillId="0" borderId="33" xfId="0" applyFont="1" applyBorder="1" applyAlignment="1">
      <alignment vertical="center" wrapText="1"/>
    </xf>
    <xf numFmtId="0" fontId="5" fillId="0" borderId="0" xfId="0" applyFont="1" applyBorder="1" applyAlignment="1">
      <alignment vertical="center" wrapText="1"/>
    </xf>
    <xf numFmtId="0" fontId="5" fillId="0" borderId="32" xfId="0" applyFont="1" applyBorder="1" applyAlignment="1">
      <alignment vertical="center" wrapText="1"/>
    </xf>
    <xf numFmtId="0" fontId="0" fillId="0" borderId="39" xfId="0" applyBorder="1" applyAlignment="1">
      <alignment vertical="center" wrapText="1"/>
    </xf>
    <xf numFmtId="0" fontId="1" fillId="0" borderId="0" xfId="0" applyFont="1" applyAlignment="1">
      <alignment horizontal="left" vertical="center" indent="1"/>
    </xf>
    <xf numFmtId="0" fontId="1" fillId="0" borderId="0" xfId="0" applyFont="1" applyAlignment="1">
      <alignment horizontal="left" vertical="center" wrapText="1" indent="1"/>
    </xf>
    <xf numFmtId="0" fontId="0" fillId="0" borderId="11" xfId="0" applyBorder="1" applyAlignment="1">
      <alignment vertical="center" wrapText="1"/>
    </xf>
    <xf numFmtId="0" fontId="5" fillId="0" borderId="2" xfId="0" applyFont="1" applyBorder="1" applyAlignment="1">
      <alignment vertical="center" wrapText="1"/>
    </xf>
    <xf numFmtId="0" fontId="5" fillId="0" borderId="32" xfId="0" applyFont="1" applyBorder="1" applyAlignment="1">
      <alignment horizontal="left" vertical="center" wrapText="1" indent="1"/>
    </xf>
    <xf numFmtId="0" fontId="0" fillId="0" borderId="32" xfId="0" applyBorder="1" applyAlignment="1">
      <alignment horizontal="left" vertical="top" wrapText="1" indent="1"/>
    </xf>
    <xf numFmtId="0" fontId="0" fillId="0" borderId="32" xfId="0" applyBorder="1" applyAlignment="1">
      <alignment horizontal="left" vertical="center" wrapText="1" indent="1"/>
    </xf>
    <xf numFmtId="0" fontId="5" fillId="0" borderId="7" xfId="0" applyFont="1" applyBorder="1" applyAlignment="1">
      <alignment horizontal="left" vertical="center" wrapText="1" indent="1"/>
    </xf>
    <xf numFmtId="0" fontId="0" fillId="0" borderId="4" xfId="0" applyBorder="1" applyAlignment="1">
      <alignment horizontal="left" vertical="center" wrapText="1" indent="1"/>
    </xf>
    <xf numFmtId="0" fontId="5" fillId="0" borderId="0" xfId="0" applyFont="1" applyBorder="1" applyAlignment="1">
      <alignment horizontal="left" vertical="center" wrapText="1" indent="1"/>
    </xf>
    <xf numFmtId="0" fontId="5" fillId="0" borderId="2" xfId="0" applyFont="1" applyBorder="1" applyAlignment="1">
      <alignment horizontal="left" vertical="center" wrapText="1" indent="1"/>
    </xf>
    <xf numFmtId="0" fontId="0" fillId="0" borderId="0" xfId="0" applyBorder="1" applyAlignment="1">
      <alignment horizontal="left" vertical="top" wrapText="1" indent="1"/>
    </xf>
    <xf numFmtId="0" fontId="0" fillId="0" borderId="0" xfId="0" applyBorder="1" applyAlignment="1">
      <alignment horizontal="left" vertical="center" wrapText="1" indent="1"/>
    </xf>
    <xf numFmtId="0" fontId="5" fillId="0" borderId="9" xfId="0" applyFont="1" applyBorder="1" applyAlignment="1">
      <alignment vertical="center" wrapText="1"/>
    </xf>
    <xf numFmtId="0" fontId="5" fillId="0" borderId="7" xfId="0" applyFont="1" applyBorder="1" applyAlignment="1">
      <alignment vertical="center" wrapText="1"/>
    </xf>
    <xf numFmtId="0" fontId="0" fillId="0" borderId="7" xfId="0" applyBorder="1" applyAlignment="1">
      <alignment vertical="center" wrapText="1"/>
    </xf>
    <xf numFmtId="0" fontId="6" fillId="0" borderId="7" xfId="0" applyFont="1" applyBorder="1" applyAlignment="1">
      <alignment horizontal="left" vertical="center" wrapText="1" indent="1"/>
    </xf>
    <xf numFmtId="0" fontId="0" fillId="0" borderId="7" xfId="0" applyBorder="1" applyAlignment="1">
      <alignment horizontal="left" vertical="center" wrapText="1" indent="1"/>
    </xf>
    <xf numFmtId="0" fontId="5" fillId="0" borderId="4" xfId="0" applyFont="1" applyBorder="1" applyAlignment="1">
      <alignment horizontal="left" vertical="center" wrapText="1" indent="1"/>
    </xf>
    <xf numFmtId="0" fontId="5" fillId="0" borderId="63" xfId="0" applyFont="1" applyBorder="1" applyAlignment="1">
      <alignment horizontal="left" vertical="center" wrapText="1" indent="1"/>
    </xf>
    <xf numFmtId="0" fontId="0" fillId="0" borderId="83" xfId="0" applyBorder="1" applyAlignment="1">
      <alignment horizontal="left" vertical="center" wrapText="1" indent="1"/>
    </xf>
    <xf numFmtId="0" fontId="5" fillId="0" borderId="11" xfId="0" applyFont="1" applyBorder="1" applyAlignment="1">
      <alignment horizontal="left" vertical="center" wrapText="1" indent="1"/>
    </xf>
    <xf numFmtId="0" fontId="0" fillId="0" borderId="33" xfId="0" applyBorder="1" applyAlignment="1">
      <alignment horizontal="left" vertical="center" wrapText="1" indent="1"/>
    </xf>
    <xf numFmtId="0" fontId="0" fillId="0" borderId="33" xfId="0" applyBorder="1" applyAlignment="1">
      <alignment horizontal="left" vertical="center" wrapText="1" indent="1"/>
    </xf>
    <xf numFmtId="0" fontId="17" fillId="0" borderId="32" xfId="0" applyFont="1" applyBorder="1" applyAlignment="1">
      <alignment horizontal="left" vertical="center" wrapText="1" indent="1"/>
    </xf>
    <xf numFmtId="0" fontId="3" fillId="0" borderId="32" xfId="0" applyFont="1" applyBorder="1" applyAlignment="1">
      <alignment horizontal="left" vertical="center" wrapText="1" indent="1"/>
    </xf>
    <xf numFmtId="0" fontId="16" fillId="0" borderId="9" xfId="0" applyFont="1" applyBorder="1" applyAlignment="1">
      <alignment horizontal="left" vertical="center" wrapText="1" indent="1"/>
    </xf>
    <xf numFmtId="0" fontId="0" fillId="0" borderId="7" xfId="0" applyBorder="1" applyAlignment="1">
      <alignment horizontal="left" vertical="top" wrapText="1" indent="1"/>
    </xf>
    <xf numFmtId="0" fontId="5" fillId="0" borderId="9" xfId="0" applyFont="1" applyBorder="1" applyAlignment="1">
      <alignment horizontal="left" vertical="center" wrapText="1" indent="1"/>
    </xf>
    <xf numFmtId="0" fontId="0" fillId="0" borderId="27" xfId="0" applyBorder="1" applyAlignment="1">
      <alignment horizontal="left" vertical="center" wrapText="1" indent="1"/>
    </xf>
    <xf numFmtId="0" fontId="0" fillId="0" borderId="30" xfId="0" applyBorder="1" applyAlignment="1">
      <alignment horizontal="left" vertical="center" wrapText="1" indent="1"/>
    </xf>
    <xf numFmtId="0" fontId="0" fillId="0" borderId="7" xfId="0" applyBorder="1" applyAlignment="1">
      <alignment horizontal="left" indent="1"/>
    </xf>
    <xf numFmtId="0" fontId="0" fillId="0" borderId="27" xfId="0" applyBorder="1" applyAlignment="1">
      <alignment horizontal="left" vertical="top" wrapText="1" indent="1"/>
    </xf>
    <xf numFmtId="0" fontId="6" fillId="0" borderId="27" xfId="0" applyFont="1" applyBorder="1" applyAlignment="1">
      <alignment horizontal="left" vertical="center" wrapText="1" indent="1"/>
    </xf>
    <xf numFmtId="0" fontId="1" fillId="0" borderId="56" xfId="0" applyFont="1" applyBorder="1" applyAlignment="1">
      <alignment horizontal="left" vertical="center" indent="1"/>
    </xf>
    <xf numFmtId="0" fontId="1" fillId="0" borderId="47" xfId="0" applyFont="1" applyBorder="1" applyAlignment="1">
      <alignment horizontal="left" vertical="center" indent="1"/>
    </xf>
    <xf numFmtId="0" fontId="1" fillId="0" borderId="6" xfId="0" applyFont="1" applyBorder="1" applyAlignment="1">
      <alignment horizontal="left" vertical="center" wrapText="1" indent="1"/>
    </xf>
    <xf numFmtId="0" fontId="1" fillId="0" borderId="6" xfId="0" applyFont="1" applyFill="1" applyBorder="1" applyAlignment="1">
      <alignment horizontal="left" vertical="center" wrapText="1" indent="1"/>
    </xf>
    <xf numFmtId="0" fontId="1" fillId="0" borderId="3" xfId="0" applyFont="1" applyBorder="1" applyAlignment="1">
      <alignment horizontal="left" vertical="center" wrapText="1" indent="1"/>
    </xf>
    <xf numFmtId="0" fontId="5" fillId="0" borderId="1" xfId="0" applyFont="1" applyBorder="1" applyAlignment="1">
      <alignment horizontal="left" vertical="center" indent="1"/>
    </xf>
    <xf numFmtId="0" fontId="5" fillId="0" borderId="2" xfId="0" applyFont="1" applyBorder="1" applyAlignment="1">
      <alignment horizontal="left" vertical="center" indent="1"/>
    </xf>
    <xf numFmtId="0" fontId="5" fillId="0" borderId="5" xfId="0" applyFont="1" applyBorder="1" applyAlignment="1">
      <alignment horizontal="left" vertical="center" indent="1"/>
    </xf>
    <xf numFmtId="0" fontId="5" fillId="0" borderId="6" xfId="0" applyFont="1" applyBorder="1" applyAlignment="1">
      <alignment horizontal="left" vertical="center" wrapText="1"/>
    </xf>
    <xf numFmtId="0" fontId="1" fillId="0" borderId="6" xfId="0" applyFont="1" applyBorder="1" applyAlignment="1">
      <alignment horizontal="left" vertical="center" wrapText="1"/>
    </xf>
    <xf numFmtId="0" fontId="1" fillId="0" borderId="6" xfId="0" applyFont="1" applyBorder="1" applyAlignment="1">
      <alignment horizontal="left" vertical="center" indent="1"/>
    </xf>
    <xf numFmtId="0" fontId="1" fillId="0" borderId="6" xfId="0" applyFont="1" applyFill="1" applyBorder="1" applyAlignment="1">
      <alignment horizontal="left" vertical="center" indent="1"/>
    </xf>
    <xf numFmtId="0" fontId="32" fillId="0" borderId="1" xfId="0" applyFont="1" applyBorder="1" applyAlignment="1">
      <alignment horizontal="left" vertical="center" indent="1"/>
    </xf>
    <xf numFmtId="0" fontId="1" fillId="0" borderId="3" xfId="0" applyFont="1" applyBorder="1" applyAlignment="1">
      <alignment horizontal="left" vertical="center" indent="1"/>
    </xf>
    <xf numFmtId="0" fontId="2" fillId="0" borderId="0" xfId="0" applyFont="1" applyAlignment="1">
      <alignment horizontal="left" vertical="center" wrapText="1" indent="1"/>
    </xf>
    <xf numFmtId="0" fontId="11" fillId="0" borderId="28" xfId="0" applyFont="1" applyBorder="1" applyAlignment="1">
      <alignment vertical="center" wrapText="1"/>
    </xf>
    <xf numFmtId="0" fontId="11" fillId="0" borderId="77" xfId="0" applyFont="1" applyBorder="1" applyAlignment="1">
      <alignment vertical="center" wrapText="1"/>
    </xf>
    <xf numFmtId="0" fontId="5" fillId="0" borderId="62" xfId="0" applyFont="1" applyBorder="1" applyAlignment="1">
      <alignment horizontal="left" vertical="center" wrapText="1"/>
    </xf>
    <xf numFmtId="0" fontId="16" fillId="0" borderId="62" xfId="0" applyFont="1" applyBorder="1" applyAlignment="1">
      <alignment horizontal="left" vertical="center" wrapText="1"/>
    </xf>
    <xf numFmtId="3" fontId="6" fillId="0" borderId="28" xfId="0" applyNumberFormat="1" applyFont="1" applyBorder="1" applyAlignment="1">
      <alignment vertical="center" wrapText="1"/>
    </xf>
    <xf numFmtId="0" fontId="6" fillId="0" borderId="8" xfId="0" applyFont="1" applyBorder="1" applyAlignment="1">
      <alignment horizontal="left" vertical="center" wrapText="1"/>
    </xf>
    <xf numFmtId="0" fontId="6" fillId="0" borderId="3" xfId="0" applyFont="1" applyBorder="1" applyAlignment="1">
      <alignment horizontal="left" vertical="center" wrapText="1"/>
    </xf>
    <xf numFmtId="3" fontId="6" fillId="0" borderId="32" xfId="0" applyNumberFormat="1" applyFont="1" applyBorder="1" applyAlignment="1">
      <alignment horizontal="right" vertical="center" wrapText="1" indent="1"/>
    </xf>
    <xf numFmtId="3" fontId="6" fillId="0" borderId="16" xfId="0" applyNumberFormat="1" applyFont="1" applyBorder="1" applyAlignment="1">
      <alignment horizontal="right" vertical="center" wrapText="1" indent="1"/>
    </xf>
    <xf numFmtId="3" fontId="6" fillId="0" borderId="10" xfId="0" applyNumberFormat="1" applyFont="1" applyBorder="1" applyAlignment="1">
      <alignment horizontal="right" vertical="center" wrapText="1" indent="1"/>
    </xf>
    <xf numFmtId="3" fontId="6" fillId="0" borderId="48" xfId="0" applyNumberFormat="1" applyFont="1" applyBorder="1" applyAlignment="1">
      <alignment horizontal="right" vertical="center" wrapText="1" indent="1"/>
    </xf>
    <xf numFmtId="3" fontId="6" fillId="0" borderId="10" xfId="2" applyNumberFormat="1" applyFont="1" applyBorder="1" applyAlignment="1">
      <alignment horizontal="right" vertical="center" wrapText="1" indent="1"/>
    </xf>
    <xf numFmtId="3" fontId="6" fillId="0" borderId="48" xfId="2" applyNumberFormat="1" applyFont="1" applyBorder="1" applyAlignment="1">
      <alignment horizontal="right" vertical="center" wrapText="1" indent="1"/>
    </xf>
    <xf numFmtId="3" fontId="5" fillId="0" borderId="13" xfId="2" applyNumberFormat="1" applyFont="1" applyBorder="1" applyAlignment="1">
      <alignment horizontal="right" vertical="center" wrapText="1" indent="1"/>
    </xf>
    <xf numFmtId="3" fontId="6" fillId="0" borderId="16" xfId="2" applyNumberFormat="1" applyFont="1" applyBorder="1" applyAlignment="1">
      <alignment horizontal="right" vertical="center" wrapText="1" indent="1"/>
    </xf>
    <xf numFmtId="3" fontId="3" fillId="0" borderId="32" xfId="2" applyNumberFormat="1" applyFont="1" applyBorder="1" applyAlignment="1">
      <alignment horizontal="right" vertical="center" wrapText="1" indent="1"/>
    </xf>
    <xf numFmtId="3" fontId="5" fillId="0" borderId="21" xfId="0" applyNumberFormat="1" applyFont="1" applyBorder="1" applyAlignment="1">
      <alignment horizontal="right" vertical="center" wrapText="1" indent="1"/>
    </xf>
    <xf numFmtId="3" fontId="5" fillId="0" borderId="48" xfId="2" applyNumberFormat="1" applyFont="1" applyBorder="1" applyAlignment="1">
      <alignment horizontal="right" vertical="center" wrapText="1" indent="1"/>
    </xf>
    <xf numFmtId="3" fontId="0" fillId="0" borderId="28" xfId="0" applyNumberFormat="1" applyBorder="1" applyAlignment="1">
      <alignment horizontal="right" vertical="center" wrapText="1" indent="1"/>
    </xf>
    <xf numFmtId="3" fontId="0" fillId="0" borderId="32" xfId="0" applyNumberFormat="1" applyBorder="1" applyAlignment="1">
      <alignment horizontal="right" vertical="center" wrapText="1" indent="1"/>
    </xf>
    <xf numFmtId="3" fontId="6" fillId="0" borderId="21" xfId="0" applyNumberFormat="1" applyFont="1" applyBorder="1" applyAlignment="1">
      <alignment horizontal="right" vertical="center" wrapText="1" indent="1"/>
    </xf>
    <xf numFmtId="3" fontId="5" fillId="0" borderId="76" xfId="0" applyNumberFormat="1" applyFont="1" applyBorder="1" applyAlignment="1">
      <alignment horizontal="right" vertical="center" wrapText="1" indent="1"/>
    </xf>
    <xf numFmtId="3" fontId="6" fillId="0" borderId="10" xfId="0" applyNumberFormat="1" applyFont="1" applyBorder="1" applyAlignment="1">
      <alignment horizontal="right" vertical="center" wrapText="1" indent="1"/>
    </xf>
    <xf numFmtId="3" fontId="6" fillId="0" borderId="13" xfId="0" applyNumberFormat="1" applyFont="1" applyBorder="1" applyAlignment="1">
      <alignment horizontal="right" vertical="center" wrapText="1" indent="1"/>
    </xf>
    <xf numFmtId="3" fontId="5" fillId="0" borderId="23" xfId="0" applyNumberFormat="1" applyFont="1" applyBorder="1" applyAlignment="1">
      <alignment horizontal="right" vertical="center" wrapText="1" indent="1"/>
    </xf>
    <xf numFmtId="3" fontId="0" fillId="0" borderId="23" xfId="0" applyNumberFormat="1" applyBorder="1" applyAlignment="1">
      <alignment horizontal="right" vertical="center" wrapText="1" indent="1"/>
    </xf>
    <xf numFmtId="3" fontId="0" fillId="0" borderId="41" xfId="0" applyNumberFormat="1" applyBorder="1" applyAlignment="1">
      <alignment horizontal="right" vertical="center" wrapText="1" indent="1"/>
    </xf>
    <xf numFmtId="3" fontId="0" fillId="0" borderId="73" xfId="0" applyNumberFormat="1" applyBorder="1" applyAlignment="1">
      <alignment horizontal="right" vertical="center" wrapText="1" indent="1"/>
    </xf>
    <xf numFmtId="3" fontId="5" fillId="0" borderId="75" xfId="0" applyNumberFormat="1" applyFont="1" applyBorder="1" applyAlignment="1">
      <alignment horizontal="right" vertical="center" wrapText="1" indent="1"/>
    </xf>
    <xf numFmtId="3" fontId="0" fillId="0" borderId="63" xfId="0" applyNumberFormat="1" applyBorder="1" applyAlignment="1">
      <alignment horizontal="right" vertical="center" wrapText="1" indent="1"/>
    </xf>
    <xf numFmtId="3" fontId="6" fillId="0" borderId="44" xfId="0" applyNumberFormat="1" applyFont="1" applyBorder="1" applyAlignment="1">
      <alignment horizontal="right" vertical="center" wrapText="1" indent="1"/>
    </xf>
    <xf numFmtId="3" fontId="6" fillId="0" borderId="63" xfId="0" applyNumberFormat="1" applyFont="1" applyBorder="1" applyAlignment="1">
      <alignment horizontal="right" vertical="center" wrapText="1" indent="1"/>
    </xf>
    <xf numFmtId="3" fontId="15" fillId="0" borderId="41" xfId="0" applyNumberFormat="1" applyFont="1" applyBorder="1" applyAlignment="1">
      <alignment horizontal="right" vertical="center" wrapText="1" indent="1"/>
    </xf>
    <xf numFmtId="3" fontId="6" fillId="0" borderId="25" xfId="0" applyNumberFormat="1" applyFont="1" applyBorder="1" applyAlignment="1">
      <alignment horizontal="right" vertical="center" wrapText="1" indent="1"/>
    </xf>
    <xf numFmtId="3" fontId="5" fillId="0" borderId="48" xfId="0" applyNumberFormat="1" applyFont="1" applyBorder="1" applyAlignment="1">
      <alignment horizontal="right" vertical="center" wrapText="1" indent="1"/>
    </xf>
    <xf numFmtId="3" fontId="11" fillId="0" borderId="23" xfId="0" applyNumberFormat="1" applyFont="1" applyBorder="1" applyAlignment="1">
      <alignment horizontal="right" vertical="center" wrapText="1" indent="1"/>
    </xf>
    <xf numFmtId="3" fontId="5" fillId="0" borderId="1" xfId="0" applyNumberFormat="1" applyFont="1" applyBorder="1" applyAlignment="1">
      <alignment horizontal="right" vertical="center" wrapText="1" indent="1"/>
    </xf>
    <xf numFmtId="3" fontId="6" fillId="0" borderId="28" xfId="0" applyNumberFormat="1" applyFont="1" applyBorder="1" applyAlignment="1">
      <alignment horizontal="right" vertical="center" wrapText="1" indent="1"/>
    </xf>
    <xf numFmtId="3" fontId="5" fillId="0" borderId="25" xfId="0" applyNumberFormat="1" applyFont="1" applyBorder="1" applyAlignment="1">
      <alignment horizontal="right" vertical="center" wrapText="1" indent="1"/>
    </xf>
    <xf numFmtId="3" fontId="0" fillId="0" borderId="27" xfId="0" applyNumberFormat="1" applyBorder="1" applyAlignment="1">
      <alignment horizontal="right" vertical="center" wrapText="1" indent="1"/>
    </xf>
    <xf numFmtId="3" fontId="6" fillId="0" borderId="27" xfId="0" applyNumberFormat="1" applyFont="1" applyBorder="1" applyAlignment="1">
      <alignment horizontal="right" vertical="center" wrapText="1" indent="1"/>
    </xf>
    <xf numFmtId="3" fontId="5" fillId="0" borderId="73" xfId="0" applyNumberFormat="1" applyFont="1" applyBorder="1" applyAlignment="1">
      <alignment horizontal="left" vertical="center" wrapText="1" indent="1"/>
    </xf>
    <xf numFmtId="3" fontId="0" fillId="0" borderId="63" xfId="0" applyNumberFormat="1" applyBorder="1" applyAlignment="1">
      <alignment horizontal="left" vertical="center" wrapText="1" indent="1"/>
    </xf>
    <xf numFmtId="3" fontId="6" fillId="0" borderId="41" xfId="0" applyNumberFormat="1" applyFont="1" applyBorder="1" applyAlignment="1">
      <alignment horizontal="left" vertical="center" wrapText="1" indent="1"/>
    </xf>
    <xf numFmtId="3" fontId="6" fillId="0" borderId="44" xfId="0" applyNumberFormat="1" applyFont="1" applyBorder="1" applyAlignment="1">
      <alignment horizontal="left" vertical="center" wrapText="1" indent="1"/>
    </xf>
    <xf numFmtId="3" fontId="0" fillId="0" borderId="73" xfId="0" applyNumberFormat="1" applyBorder="1" applyAlignment="1">
      <alignment vertical="center" wrapText="1"/>
    </xf>
    <xf numFmtId="0" fontId="0" fillId="0" borderId="6" xfId="0" applyBorder="1" applyAlignment="1">
      <alignment vertical="center" wrapText="1"/>
    </xf>
    <xf numFmtId="0" fontId="6" fillId="0" borderId="17" xfId="0" applyFont="1" applyBorder="1" applyAlignment="1">
      <alignment horizontal="left" vertical="center" wrapText="1"/>
    </xf>
    <xf numFmtId="0" fontId="6" fillId="0" borderId="54" xfId="0" applyFont="1" applyBorder="1" applyAlignment="1">
      <alignment horizontal="left" vertical="center" wrapText="1"/>
    </xf>
    <xf numFmtId="0" fontId="6" fillId="0" borderId="61" xfId="0" applyFont="1" applyBorder="1" applyAlignment="1">
      <alignment horizontal="left" vertical="center" wrapText="1"/>
    </xf>
    <xf numFmtId="0" fontId="6" fillId="0" borderId="50" xfId="0" applyFont="1" applyBorder="1" applyAlignment="1">
      <alignment horizontal="left" vertical="center" wrapText="1"/>
    </xf>
    <xf numFmtId="0" fontId="6" fillId="0" borderId="65" xfId="0" applyFont="1" applyBorder="1" applyAlignment="1">
      <alignment horizontal="left" vertical="center" wrapText="1"/>
    </xf>
    <xf numFmtId="0" fontId="6" fillId="0" borderId="19" xfId="0" applyFont="1" applyBorder="1" applyAlignment="1">
      <alignment horizontal="left" vertical="center" wrapText="1"/>
    </xf>
    <xf numFmtId="0" fontId="6" fillId="0" borderId="22" xfId="0" applyFont="1" applyBorder="1" applyAlignment="1">
      <alignment horizontal="left" vertical="center" wrapText="1"/>
    </xf>
    <xf numFmtId="0" fontId="6" fillId="0" borderId="32" xfId="0" applyFont="1" applyBorder="1" applyAlignment="1">
      <alignment horizontal="left" vertical="center" wrapText="1"/>
    </xf>
    <xf numFmtId="0" fontId="0" fillId="0" borderId="7" xfId="0" applyBorder="1" applyAlignment="1">
      <alignment horizontal="left" vertical="center" wrapText="1" indent="1"/>
    </xf>
    <xf numFmtId="0" fontId="6" fillId="0" borderId="49" xfId="0" applyFont="1" applyBorder="1" applyAlignment="1">
      <alignment horizontal="left" vertical="center" wrapText="1"/>
    </xf>
    <xf numFmtId="0" fontId="6" fillId="0" borderId="42" xfId="0" applyFont="1" applyBorder="1" applyAlignment="1">
      <alignment horizontal="left" vertical="center" wrapText="1"/>
    </xf>
    <xf numFmtId="3" fontId="6" fillId="0" borderId="10" xfId="0" applyNumberFormat="1" applyFont="1" applyBorder="1" applyAlignment="1">
      <alignment horizontal="right" vertical="center" wrapText="1" indent="1"/>
    </xf>
    <xf numFmtId="0" fontId="0" fillId="0" borderId="0" xfId="0" applyBorder="1" applyAlignment="1">
      <alignment horizontal="left" vertical="center" wrapText="1" indent="1"/>
    </xf>
    <xf numFmtId="0" fontId="5" fillId="0" borderId="0" xfId="0" applyFont="1" applyBorder="1" applyAlignment="1">
      <alignment horizontal="left" vertical="center" wrapText="1" indent="1"/>
    </xf>
    <xf numFmtId="0" fontId="6" fillId="0" borderId="18" xfId="0" applyFont="1" applyBorder="1" applyAlignment="1">
      <alignment horizontal="left" vertical="center" wrapText="1"/>
    </xf>
    <xf numFmtId="0" fontId="6" fillId="0" borderId="20" xfId="0" applyFont="1" applyBorder="1" applyAlignment="1">
      <alignment horizontal="left" vertical="center" wrapText="1"/>
    </xf>
    <xf numFmtId="0" fontId="6" fillId="0" borderId="10" xfId="0" applyFont="1" applyBorder="1" applyAlignment="1">
      <alignment horizontal="left" vertical="center" wrapText="1"/>
    </xf>
    <xf numFmtId="0" fontId="6" fillId="0" borderId="48" xfId="0" applyFont="1" applyBorder="1" applyAlignment="1">
      <alignment horizontal="left" vertical="center" wrapText="1"/>
    </xf>
    <xf numFmtId="0" fontId="6" fillId="0" borderId="0" xfId="0" applyFont="1" applyBorder="1" applyAlignment="1">
      <alignment horizontal="left" vertical="center" wrapText="1"/>
    </xf>
    <xf numFmtId="0" fontId="0" fillId="0" borderId="6" xfId="0" applyBorder="1" applyAlignment="1">
      <alignment horizontal="left" vertical="center" wrapText="1"/>
    </xf>
    <xf numFmtId="0" fontId="0" fillId="0" borderId="3" xfId="0" applyBorder="1" applyAlignment="1">
      <alignment horizontal="left" vertical="center" wrapText="1"/>
    </xf>
    <xf numFmtId="0" fontId="0" fillId="0" borderId="0" xfId="0" applyBorder="1" applyAlignment="1">
      <alignment horizontal="left" vertical="center" wrapText="1"/>
    </xf>
    <xf numFmtId="0" fontId="0" fillId="0" borderId="32" xfId="0" applyBorder="1" applyAlignment="1">
      <alignment horizontal="left" vertical="center" wrapText="1"/>
    </xf>
    <xf numFmtId="0" fontId="6" fillId="0" borderId="8" xfId="0" applyFont="1" applyBorder="1" applyAlignment="1">
      <alignment horizontal="left" vertical="center" wrapText="1"/>
    </xf>
    <xf numFmtId="0" fontId="6" fillId="0" borderId="3" xfId="0" applyFont="1" applyBorder="1" applyAlignment="1">
      <alignment horizontal="left" vertical="center" wrapText="1"/>
    </xf>
    <xf numFmtId="0" fontId="6" fillId="0" borderId="37" xfId="0" applyFont="1" applyBorder="1" applyAlignment="1">
      <alignment horizontal="left" vertical="center" wrapText="1"/>
    </xf>
    <xf numFmtId="3" fontId="0" fillId="0" borderId="27" xfId="0" applyNumberFormat="1" applyBorder="1" applyAlignment="1">
      <alignment horizontal="left" vertical="center" wrapText="1" indent="1"/>
    </xf>
    <xf numFmtId="3" fontId="5" fillId="0" borderId="63" xfId="0" applyNumberFormat="1" applyFont="1" applyBorder="1" applyAlignment="1">
      <alignment horizontal="center" vertical="center" wrapText="1"/>
    </xf>
    <xf numFmtId="0" fontId="5" fillId="0" borderId="0" xfId="0" applyFont="1" applyAlignment="1">
      <alignment horizontal="left" vertical="center" wrapText="1" indent="1"/>
    </xf>
    <xf numFmtId="0" fontId="5" fillId="0" borderId="55" xfId="0" applyFont="1" applyBorder="1" applyAlignment="1">
      <alignment horizontal="left" vertical="center" wrapText="1" indent="1"/>
    </xf>
    <xf numFmtId="0" fontId="0" fillId="0" borderId="56" xfId="0" applyBorder="1" applyAlignment="1">
      <alignment horizontal="left" vertical="center" wrapText="1" indent="1"/>
    </xf>
    <xf numFmtId="3" fontId="5" fillId="0" borderId="28" xfId="0" applyNumberFormat="1" applyFont="1" applyBorder="1" applyAlignment="1">
      <alignment horizontal="left" vertical="center" wrapText="1" indent="1"/>
    </xf>
    <xf numFmtId="0" fontId="6" fillId="0" borderId="62" xfId="0" applyFont="1" applyBorder="1" applyAlignment="1">
      <alignment vertical="center" wrapText="1"/>
    </xf>
    <xf numFmtId="0" fontId="1" fillId="0" borderId="1" xfId="0" applyFont="1" applyBorder="1" applyAlignment="1">
      <alignment horizontal="left" vertical="center" wrapText="1" indent="1"/>
    </xf>
    <xf numFmtId="0" fontId="1" fillId="0" borderId="56" xfId="0" applyFont="1" applyBorder="1" applyAlignment="1">
      <alignment horizontal="left" vertical="center" wrapText="1" indent="1"/>
    </xf>
    <xf numFmtId="0" fontId="5" fillId="0" borderId="41" xfId="0" applyFont="1" applyBorder="1" applyAlignment="1">
      <alignment horizontal="left" vertical="center" wrapText="1" indent="1"/>
    </xf>
    <xf numFmtId="0" fontId="0" fillId="0" borderId="51" xfId="0" applyBorder="1" applyAlignment="1">
      <alignment vertical="center" wrapText="1"/>
    </xf>
    <xf numFmtId="3" fontId="0" fillId="0" borderId="51" xfId="0" applyNumberFormat="1" applyBorder="1" applyAlignment="1">
      <alignment vertical="center" wrapText="1"/>
    </xf>
    <xf numFmtId="0" fontId="0" fillId="0" borderId="10" xfId="0" applyBorder="1" applyAlignment="1">
      <alignment vertical="center" wrapText="1"/>
    </xf>
    <xf numFmtId="3" fontId="6" fillId="0" borderId="10" xfId="0" applyNumberFormat="1" applyFont="1" applyBorder="1" applyAlignment="1">
      <alignment horizontal="left" vertical="center" wrapText="1" indent="1"/>
    </xf>
    <xf numFmtId="0" fontId="0" fillId="0" borderId="16" xfId="0" applyBorder="1" applyAlignment="1">
      <alignment vertical="center" wrapText="1"/>
    </xf>
    <xf numFmtId="3" fontId="6" fillId="0" borderId="16" xfId="0" applyNumberFormat="1" applyFont="1" applyBorder="1" applyAlignment="1">
      <alignment horizontal="left" vertical="center" wrapText="1" indent="1"/>
    </xf>
    <xf numFmtId="0" fontId="11" fillId="0" borderId="17" xfId="0" applyFont="1" applyBorder="1" applyAlignment="1">
      <alignment horizontal="left" vertical="center" wrapText="1"/>
    </xf>
    <xf numFmtId="0" fontId="5" fillId="0" borderId="8" xfId="0" applyFont="1" applyBorder="1" applyAlignment="1">
      <alignment horizontal="left" vertical="center" wrapText="1" indent="1"/>
    </xf>
    <xf numFmtId="0" fontId="0" fillId="0" borderId="6" xfId="0" applyBorder="1" applyAlignment="1">
      <alignment horizontal="left" vertical="top" wrapText="1" indent="1"/>
    </xf>
    <xf numFmtId="0" fontId="0" fillId="0" borderId="3" xfId="0" applyBorder="1" applyAlignment="1">
      <alignment horizontal="left" vertical="center" wrapText="1" indent="1"/>
    </xf>
    <xf numFmtId="0" fontId="0" fillId="0" borderId="6" xfId="0" applyBorder="1" applyAlignment="1">
      <alignment horizontal="left" vertical="center" wrapText="1" indent="1"/>
    </xf>
    <xf numFmtId="3" fontId="6" fillId="0" borderId="48" xfId="0" applyNumberFormat="1" applyFont="1" applyBorder="1" applyAlignment="1">
      <alignment horizontal="left" vertical="center" wrapText="1" indent="1"/>
    </xf>
    <xf numFmtId="3" fontId="6" fillId="0" borderId="10" xfId="0" applyNumberFormat="1" applyFont="1" applyBorder="1" applyAlignment="1">
      <alignment vertical="center" wrapText="1"/>
    </xf>
    <xf numFmtId="0" fontId="11" fillId="0" borderId="19" xfId="0" applyFont="1" applyBorder="1" applyAlignment="1">
      <alignment horizontal="left" vertical="center" wrapText="1"/>
    </xf>
    <xf numFmtId="0" fontId="6" fillId="0" borderId="21" xfId="0" applyFont="1" applyBorder="1" applyAlignment="1">
      <alignment vertical="center" wrapText="1"/>
    </xf>
    <xf numFmtId="3" fontId="6" fillId="0" borderId="21" xfId="0" applyNumberFormat="1" applyFont="1" applyBorder="1" applyAlignment="1">
      <alignment vertical="center" wrapText="1"/>
    </xf>
    <xf numFmtId="0" fontId="11" fillId="0" borderId="22" xfId="0" applyFont="1" applyBorder="1" applyAlignment="1">
      <alignment vertical="center" wrapText="1"/>
    </xf>
    <xf numFmtId="0" fontId="5" fillId="0" borderId="8" xfId="0" applyFont="1" applyBorder="1" applyAlignment="1">
      <alignment horizontal="left" vertical="center" wrapText="1" indent="1"/>
    </xf>
    <xf numFmtId="3" fontId="5" fillId="0" borderId="23" xfId="0" applyNumberFormat="1" applyFont="1" applyBorder="1" applyAlignment="1">
      <alignment vertical="center" wrapText="1"/>
    </xf>
    <xf numFmtId="3" fontId="5" fillId="0" borderId="73" xfId="0" applyNumberFormat="1" applyFont="1" applyBorder="1" applyAlignment="1">
      <alignment vertical="center" wrapText="1"/>
    </xf>
    <xf numFmtId="0" fontId="5" fillId="0" borderId="6" xfId="0" applyFont="1" applyBorder="1" applyAlignment="1">
      <alignment vertical="center" wrapText="1"/>
    </xf>
    <xf numFmtId="3" fontId="6" fillId="0" borderId="63" xfId="0" applyNumberFormat="1" applyFont="1" applyBorder="1" applyAlignment="1">
      <alignment horizontal="left" vertical="center" wrapText="1" indent="1"/>
    </xf>
    <xf numFmtId="0" fontId="5" fillId="0" borderId="40" xfId="0" applyFont="1" applyBorder="1" applyAlignment="1">
      <alignment horizontal="left" vertical="center" wrapText="1"/>
    </xf>
    <xf numFmtId="3" fontId="0" fillId="0" borderId="32" xfId="0" applyNumberFormat="1" applyBorder="1" applyAlignment="1">
      <alignment horizontal="left" vertical="center" wrapText="1" indent="1"/>
    </xf>
    <xf numFmtId="3" fontId="6" fillId="0" borderId="16" xfId="0" applyNumberFormat="1" applyFont="1" applyBorder="1" applyAlignment="1">
      <alignment vertical="center" wrapText="1"/>
    </xf>
    <xf numFmtId="0" fontId="5" fillId="0" borderId="18" xfId="0" applyFont="1" applyBorder="1" applyAlignment="1">
      <alignment horizontal="left" vertical="center" wrapText="1"/>
    </xf>
    <xf numFmtId="0" fontId="6" fillId="0" borderId="22" xfId="0" applyFont="1" applyBorder="1" applyAlignment="1">
      <alignment vertical="center" wrapText="1"/>
    </xf>
    <xf numFmtId="0" fontId="6" fillId="0" borderId="54" xfId="0" applyFont="1" applyBorder="1" applyAlignment="1">
      <alignment vertical="center" wrapText="1"/>
    </xf>
    <xf numFmtId="0" fontId="0" fillId="0" borderId="56" xfId="0" applyBorder="1" applyAlignment="1">
      <alignment horizontal="left" indent="1"/>
    </xf>
    <xf numFmtId="0" fontId="5" fillId="0" borderId="8" xfId="0" applyFont="1" applyBorder="1" applyAlignment="1">
      <alignment horizontal="left" vertical="center" wrapText="1"/>
    </xf>
    <xf numFmtId="0" fontId="11" fillId="0" borderId="61" xfId="0" applyFont="1" applyBorder="1" applyAlignment="1">
      <alignment horizontal="left" vertical="center" wrapText="1"/>
    </xf>
    <xf numFmtId="0" fontId="11" fillId="0" borderId="50" xfId="0" applyFont="1" applyBorder="1" applyAlignment="1">
      <alignment horizontal="left" vertical="center" wrapText="1"/>
    </xf>
    <xf numFmtId="3" fontId="6" fillId="0" borderId="51" xfId="0" applyNumberFormat="1" applyFont="1" applyBorder="1" applyAlignment="1">
      <alignment vertical="center" wrapText="1"/>
    </xf>
    <xf numFmtId="0" fontId="0" fillId="0" borderId="4" xfId="0" applyBorder="1" applyAlignment="1">
      <alignment vertical="center" wrapText="1"/>
    </xf>
    <xf numFmtId="0" fontId="5" fillId="0" borderId="41" xfId="0" applyFont="1" applyBorder="1" applyAlignment="1">
      <alignment horizontal="left" vertical="center" wrapText="1"/>
    </xf>
    <xf numFmtId="0" fontId="5" fillId="0" borderId="6" xfId="0" applyFont="1" applyBorder="1" applyAlignment="1">
      <alignment horizontal="left" vertical="center" wrapText="1" indent="1"/>
    </xf>
    <xf numFmtId="0" fontId="0" fillId="0" borderId="6" xfId="0" applyBorder="1" applyAlignment="1">
      <alignment horizontal="left" vertical="center" wrapText="1" indent="1"/>
    </xf>
    <xf numFmtId="0" fontId="11" fillId="0" borderId="65" xfId="0" applyFont="1" applyBorder="1" applyAlignment="1">
      <alignment horizontal="left" vertical="center" wrapText="1"/>
    </xf>
    <xf numFmtId="0" fontId="0" fillId="0" borderId="3" xfId="0" applyBorder="1" applyAlignment="1">
      <alignment horizontal="left" vertical="center" wrapText="1" indent="1"/>
    </xf>
    <xf numFmtId="0" fontId="5" fillId="0" borderId="40" xfId="0" applyFont="1" applyBorder="1" applyAlignment="1">
      <alignment horizontal="left" vertical="center" wrapText="1" indent="1"/>
    </xf>
    <xf numFmtId="3" fontId="5" fillId="0" borderId="63" xfId="0" applyNumberFormat="1" applyFont="1" applyBorder="1" applyAlignment="1">
      <alignment horizontal="right" vertical="center" wrapText="1" indent="1"/>
    </xf>
    <xf numFmtId="0" fontId="5" fillId="0" borderId="44" xfId="0" applyFont="1" applyBorder="1" applyAlignment="1">
      <alignment horizontal="left" vertical="center" wrapText="1"/>
    </xf>
    <xf numFmtId="3" fontId="5" fillId="0" borderId="44" xfId="0" applyNumberFormat="1" applyFont="1" applyBorder="1" applyAlignment="1">
      <alignment horizontal="right" vertical="center" wrapText="1" indent="1"/>
    </xf>
    <xf numFmtId="0" fontId="5" fillId="0" borderId="4" xfId="0" applyFont="1" applyBorder="1" applyAlignment="1">
      <alignment horizontal="left" vertical="center" wrapText="1"/>
    </xf>
    <xf numFmtId="3" fontId="0" fillId="0" borderId="10" xfId="0" applyNumberFormat="1" applyBorder="1" applyAlignment="1">
      <alignment vertical="center" wrapText="1"/>
    </xf>
    <xf numFmtId="0" fontId="5" fillId="0" borderId="5" xfId="0" applyFont="1" applyBorder="1" applyAlignment="1">
      <alignment horizontal="left" vertical="center" wrapText="1"/>
    </xf>
    <xf numFmtId="0" fontId="6" fillId="0" borderId="63" xfId="0" applyFont="1" applyBorder="1" applyAlignment="1">
      <alignment vertical="center" wrapText="1"/>
    </xf>
    <xf numFmtId="3" fontId="6" fillId="0" borderId="73" xfId="0" applyNumberFormat="1" applyFont="1" applyBorder="1" applyAlignment="1">
      <alignment horizontal="left" vertical="center" wrapText="1"/>
    </xf>
    <xf numFmtId="3" fontId="6" fillId="0" borderId="36" xfId="0" applyNumberFormat="1" applyFont="1" applyBorder="1" applyAlignment="1">
      <alignment vertical="center" wrapText="1"/>
    </xf>
    <xf numFmtId="0" fontId="0" fillId="0" borderId="11" xfId="0" applyBorder="1" applyAlignment="1">
      <alignment horizontal="left" indent="1"/>
    </xf>
    <xf numFmtId="0" fontId="5" fillId="0" borderId="64" xfId="0" applyFont="1" applyBorder="1" applyAlignment="1">
      <alignment vertical="center" wrapText="1"/>
    </xf>
    <xf numFmtId="0" fontId="5" fillId="0" borderId="1" xfId="0" applyFont="1" applyFill="1" applyBorder="1" applyAlignment="1">
      <alignment horizontal="left" vertical="center" indent="1"/>
    </xf>
    <xf numFmtId="0" fontId="0" fillId="0" borderId="11" xfId="0" applyFill="1" applyBorder="1" applyAlignment="1">
      <alignment vertical="center" wrapText="1"/>
    </xf>
    <xf numFmtId="0" fontId="5" fillId="0" borderId="1" xfId="0" applyFont="1" applyFill="1" applyBorder="1" applyAlignment="1">
      <alignment vertical="center" wrapText="1"/>
    </xf>
    <xf numFmtId="0" fontId="5" fillId="0" borderId="63" xfId="0" applyFont="1" applyFill="1" applyBorder="1" applyAlignment="1">
      <alignment horizontal="left" vertical="center" wrapText="1"/>
    </xf>
    <xf numFmtId="3" fontId="5" fillId="0" borderId="73" xfId="0" applyNumberFormat="1" applyFont="1" applyFill="1" applyBorder="1" applyAlignment="1">
      <alignment horizontal="right" vertical="center" wrapText="1" indent="1"/>
    </xf>
    <xf numFmtId="0" fontId="5" fillId="0" borderId="2" xfId="0" applyFont="1" applyFill="1" applyBorder="1" applyAlignment="1">
      <alignment horizontal="left" vertical="center" wrapText="1"/>
    </xf>
    <xf numFmtId="0" fontId="1" fillId="0" borderId="56" xfId="0" applyFont="1" applyFill="1" applyBorder="1" applyAlignment="1">
      <alignment horizontal="left" vertical="center" indent="1"/>
    </xf>
    <xf numFmtId="0" fontId="5" fillId="0" borderId="0" xfId="0" applyFont="1" applyFill="1" applyAlignment="1">
      <alignment horizontal="left" vertical="center" wrapText="1" indent="1"/>
    </xf>
    <xf numFmtId="0" fontId="5" fillId="0" borderId="1" xfId="0" applyFont="1" applyFill="1" applyBorder="1" applyAlignment="1">
      <alignment horizontal="left" vertical="center" wrapText="1" indent="1"/>
    </xf>
    <xf numFmtId="0" fontId="6" fillId="0" borderId="32" xfId="0" applyFont="1" applyFill="1" applyBorder="1" applyAlignment="1">
      <alignment horizontal="left" vertical="center" wrapText="1"/>
    </xf>
    <xf numFmtId="0" fontId="0" fillId="0" borderId="32" xfId="0" applyFill="1" applyBorder="1" applyAlignment="1">
      <alignment horizontal="left" vertical="center" wrapText="1"/>
    </xf>
    <xf numFmtId="3" fontId="0" fillId="0" borderId="32" xfId="0" applyNumberFormat="1" applyFill="1" applyBorder="1" applyAlignment="1">
      <alignment horizontal="right" vertical="center" wrapText="1" indent="1"/>
    </xf>
    <xf numFmtId="0" fontId="5" fillId="0" borderId="8" xfId="0" applyFont="1" applyFill="1" applyBorder="1" applyAlignment="1">
      <alignment horizontal="left" vertical="center" wrapText="1" indent="1"/>
    </xf>
    <xf numFmtId="0" fontId="6" fillId="0" borderId="40" xfId="0" applyFont="1" applyFill="1" applyBorder="1" applyAlignment="1">
      <alignment vertical="center" wrapText="1"/>
    </xf>
    <xf numFmtId="0" fontId="6" fillId="0" borderId="41" xfId="0" applyFont="1" applyFill="1" applyBorder="1" applyAlignment="1">
      <alignment horizontal="left" vertical="center" wrapText="1"/>
    </xf>
    <xf numFmtId="3" fontId="6" fillId="0" borderId="41" xfId="0" applyNumberFormat="1" applyFont="1" applyFill="1" applyBorder="1" applyAlignment="1">
      <alignment horizontal="left" vertical="center" wrapText="1" indent="1"/>
    </xf>
    <xf numFmtId="0" fontId="6" fillId="0" borderId="9" xfId="0" applyFont="1" applyFill="1" applyBorder="1" applyAlignment="1">
      <alignment horizontal="left" vertical="center" wrapText="1"/>
    </xf>
    <xf numFmtId="0" fontId="6" fillId="0" borderId="27" xfId="0" applyFont="1" applyFill="1" applyBorder="1" applyAlignment="1">
      <alignment horizontal="left" vertical="center" wrapText="1"/>
    </xf>
    <xf numFmtId="0" fontId="5" fillId="0" borderId="0" xfId="0" applyFont="1" applyFill="1" applyBorder="1" applyAlignment="1">
      <alignment vertical="center" wrapText="1"/>
    </xf>
    <xf numFmtId="0" fontId="6" fillId="0" borderId="15" xfId="0" applyFont="1" applyFill="1" applyBorder="1" applyAlignment="1">
      <alignment vertical="center" wrapText="1"/>
    </xf>
    <xf numFmtId="3" fontId="6" fillId="0" borderId="10" xfId="0" applyNumberFormat="1" applyFont="1" applyFill="1" applyBorder="1" applyAlignment="1">
      <alignment horizontal="left" vertical="center" wrapText="1" indent="1"/>
    </xf>
    <xf numFmtId="0" fontId="0" fillId="0" borderId="19" xfId="0" applyFill="1" applyBorder="1" applyAlignment="1">
      <alignment vertical="center" wrapText="1"/>
    </xf>
    <xf numFmtId="0" fontId="6" fillId="0" borderId="18" xfId="0" applyFont="1" applyFill="1" applyBorder="1" applyAlignment="1">
      <alignment horizontal="left" vertical="center" wrapText="1"/>
    </xf>
    <xf numFmtId="0" fontId="6" fillId="0" borderId="19" xfId="0" applyFont="1" applyFill="1" applyBorder="1" applyAlignment="1">
      <alignment horizontal="left" vertical="center" wrapText="1"/>
    </xf>
    <xf numFmtId="0" fontId="6" fillId="0" borderId="20" xfId="0" applyFont="1" applyFill="1" applyBorder="1" applyAlignment="1">
      <alignment horizontal="left" vertical="center" wrapText="1"/>
    </xf>
    <xf numFmtId="3" fontId="0" fillId="0" borderId="21" xfId="0" applyNumberFormat="1" applyFill="1" applyBorder="1" applyAlignment="1">
      <alignment horizontal="left" vertical="center" wrapText="1" indent="1"/>
    </xf>
    <xf numFmtId="0" fontId="0" fillId="0" borderId="22" xfId="0" applyFill="1" applyBorder="1" applyAlignment="1">
      <alignment horizontal="left" vertical="center" wrapText="1"/>
    </xf>
    <xf numFmtId="0" fontId="1" fillId="0" borderId="56" xfId="0" applyFont="1" applyFill="1" applyBorder="1" applyAlignment="1">
      <alignment horizontal="left" vertical="center" wrapText="1" indent="1"/>
    </xf>
    <xf numFmtId="0" fontId="5" fillId="0" borderId="8" xfId="0" applyFont="1" applyFill="1" applyBorder="1" applyAlignment="1">
      <alignment vertical="center" wrapText="1"/>
    </xf>
    <xf numFmtId="3" fontId="5" fillId="0" borderId="64" xfId="0" applyNumberFormat="1" applyFont="1" applyFill="1" applyBorder="1" applyAlignment="1">
      <alignment vertical="center" wrapText="1"/>
    </xf>
    <xf numFmtId="0" fontId="5" fillId="0" borderId="4" xfId="0" applyFont="1" applyFill="1" applyBorder="1" applyAlignment="1">
      <alignment horizontal="left" vertical="center" wrapText="1"/>
    </xf>
    <xf numFmtId="0" fontId="0" fillId="0" borderId="6" xfId="0" applyFill="1" applyBorder="1" applyAlignment="1">
      <alignment horizontal="left" indent="1"/>
    </xf>
    <xf numFmtId="0" fontId="6" fillId="0" borderId="26" xfId="0" applyFont="1" applyFill="1" applyBorder="1" applyAlignment="1">
      <alignment vertical="center" wrapText="1"/>
    </xf>
    <xf numFmtId="3" fontId="6" fillId="0" borderId="23" xfId="0" applyNumberFormat="1" applyFont="1" applyFill="1" applyBorder="1" applyAlignment="1">
      <alignment vertical="center" wrapText="1"/>
    </xf>
    <xf numFmtId="0" fontId="6" fillId="0" borderId="23" xfId="0" applyFont="1" applyFill="1" applyBorder="1" applyAlignment="1">
      <alignment vertical="center" wrapText="1"/>
    </xf>
    <xf numFmtId="0" fontId="5" fillId="0" borderId="0" xfId="0" applyFont="1" applyFill="1" applyBorder="1" applyAlignment="1">
      <alignment horizontal="left" vertical="center" wrapText="1"/>
    </xf>
    <xf numFmtId="3" fontId="6" fillId="0" borderId="16" xfId="0" applyNumberFormat="1" applyFont="1" applyFill="1" applyBorder="1" applyAlignment="1">
      <alignment vertical="center" wrapText="1"/>
    </xf>
    <xf numFmtId="0" fontId="6" fillId="0" borderId="17" xfId="0" applyFont="1" applyFill="1" applyBorder="1" applyAlignment="1">
      <alignment vertical="center" wrapText="1"/>
    </xf>
    <xf numFmtId="0" fontId="0" fillId="0" borderId="0" xfId="0" applyFill="1" applyBorder="1" applyAlignment="1">
      <alignment horizontal="left" vertical="center" wrapText="1"/>
    </xf>
    <xf numFmtId="3" fontId="6" fillId="0" borderId="10" xfId="0" applyNumberFormat="1" applyFont="1" applyFill="1" applyBorder="1" applyAlignment="1">
      <alignment horizontal="right" vertical="center" wrapText="1" indent="1"/>
    </xf>
    <xf numFmtId="3" fontId="6" fillId="0" borderId="10" xfId="0" applyNumberFormat="1" applyFont="1" applyFill="1" applyBorder="1" applyAlignment="1">
      <alignment vertical="center" wrapText="1"/>
    </xf>
    <xf numFmtId="0" fontId="6" fillId="0" borderId="19" xfId="0" applyFont="1" applyFill="1" applyBorder="1" applyAlignment="1">
      <alignment vertical="center" wrapText="1"/>
    </xf>
    <xf numFmtId="3" fontId="6" fillId="0" borderId="21" xfId="0" applyNumberFormat="1" applyFont="1" applyFill="1" applyBorder="1" applyAlignment="1">
      <alignment horizontal="right" vertical="center" wrapText="1" indent="1"/>
    </xf>
    <xf numFmtId="0" fontId="6" fillId="0" borderId="22" xfId="0" applyFont="1" applyFill="1" applyBorder="1" applyAlignment="1">
      <alignment horizontal="left" vertical="center" wrapText="1"/>
    </xf>
    <xf numFmtId="0" fontId="5" fillId="0" borderId="32" xfId="0" applyFont="1" applyFill="1" applyBorder="1" applyAlignment="1">
      <alignment horizontal="left" vertical="center" wrapText="1"/>
    </xf>
    <xf numFmtId="0" fontId="0" fillId="0" borderId="27" xfId="0" applyFill="1" applyBorder="1" applyAlignment="1">
      <alignment horizontal="left" vertical="center" wrapText="1"/>
    </xf>
    <xf numFmtId="3" fontId="6" fillId="0" borderId="27" xfId="0" applyNumberFormat="1" applyFont="1" applyFill="1" applyBorder="1" applyAlignment="1">
      <alignment horizontal="right" vertical="center" wrapText="1" indent="1"/>
    </xf>
    <xf numFmtId="3" fontId="5" fillId="0" borderId="27" xfId="0" applyNumberFormat="1" applyFont="1" applyFill="1" applyBorder="1" applyAlignment="1">
      <alignment horizontal="right" vertical="center" wrapText="1" indent="1"/>
    </xf>
    <xf numFmtId="3" fontId="6" fillId="0" borderId="16" xfId="0" applyNumberFormat="1" applyFont="1" applyFill="1" applyBorder="1" applyAlignment="1">
      <alignment horizontal="right" vertical="center" wrapText="1" indent="1"/>
    </xf>
    <xf numFmtId="0" fontId="6" fillId="0" borderId="17" xfId="0" applyFont="1" applyFill="1" applyBorder="1" applyAlignment="1">
      <alignment horizontal="left" vertical="center" wrapText="1"/>
    </xf>
    <xf numFmtId="0" fontId="6" fillId="0" borderId="0" xfId="0" applyFont="1" applyFill="1" applyBorder="1" applyAlignment="1">
      <alignment horizontal="left" vertical="center" wrapText="1"/>
    </xf>
    <xf numFmtId="3" fontId="5" fillId="0" borderId="63" xfId="0" applyNumberFormat="1" applyFont="1" applyFill="1" applyBorder="1" applyAlignment="1">
      <alignment horizontal="right" vertical="center" wrapText="1" indent="1"/>
    </xf>
    <xf numFmtId="0" fontId="0" fillId="0" borderId="2" xfId="0" applyFill="1" applyBorder="1" applyAlignment="1">
      <alignment horizontal="left" vertical="center" wrapText="1"/>
    </xf>
    <xf numFmtId="0" fontId="1" fillId="0" borderId="0" xfId="0" applyFont="1" applyFill="1" applyAlignment="1">
      <alignment horizontal="left" vertical="top" indent="1"/>
    </xf>
    <xf numFmtId="3" fontId="6" fillId="0" borderId="31" xfId="0" applyNumberFormat="1" applyFont="1" applyFill="1" applyBorder="1" applyAlignment="1">
      <alignment horizontal="left" vertical="center" wrapText="1" indent="1"/>
    </xf>
    <xf numFmtId="0" fontId="0" fillId="0" borderId="80" xfId="0" applyFill="1" applyBorder="1" applyAlignment="1">
      <alignment vertical="center" wrapText="1"/>
    </xf>
    <xf numFmtId="0" fontId="6" fillId="0" borderId="32" xfId="0" applyFont="1" applyFill="1" applyBorder="1" applyAlignment="1">
      <alignment vertical="center" wrapText="1"/>
    </xf>
    <xf numFmtId="0" fontId="5" fillId="0" borderId="63" xfId="0" applyFont="1" applyFill="1" applyBorder="1" applyAlignment="1">
      <alignment vertical="center" wrapText="1"/>
    </xf>
    <xf numFmtId="0" fontId="0" fillId="0" borderId="3" xfId="0" applyFill="1" applyBorder="1" applyAlignment="1">
      <alignment horizontal="left" indent="1"/>
    </xf>
    <xf numFmtId="0" fontId="0" fillId="0" borderId="57" xfId="0" applyBorder="1" applyAlignment="1">
      <alignment horizontal="left" indent="1"/>
    </xf>
    <xf numFmtId="0" fontId="6" fillId="0" borderId="85" xfId="0" applyFont="1" applyFill="1" applyBorder="1" applyAlignment="1">
      <alignment vertical="center" wrapText="1"/>
    </xf>
    <xf numFmtId="0" fontId="6" fillId="0" borderId="86" xfId="0" applyFont="1" applyFill="1" applyBorder="1" applyAlignment="1">
      <alignment vertical="center" wrapText="1"/>
    </xf>
    <xf numFmtId="3" fontId="6" fillId="0" borderId="86" xfId="0" applyNumberFormat="1" applyFont="1" applyFill="1" applyBorder="1" applyAlignment="1">
      <alignment horizontal="left" vertical="center" wrapText="1" indent="1"/>
    </xf>
    <xf numFmtId="0" fontId="0" fillId="0" borderId="87" xfId="0" applyFill="1" applyBorder="1" applyAlignment="1">
      <alignment vertical="center" wrapText="1"/>
    </xf>
    <xf numFmtId="3" fontId="6" fillId="0" borderId="28" xfId="0" applyNumberFormat="1" applyFont="1" applyFill="1" applyBorder="1" applyAlignment="1">
      <alignment vertical="center" wrapText="1"/>
    </xf>
    <xf numFmtId="0" fontId="6" fillId="0" borderId="28" xfId="0" applyFont="1" applyFill="1" applyBorder="1" applyAlignment="1">
      <alignment vertical="center" wrapText="1"/>
    </xf>
    <xf numFmtId="0" fontId="5" fillId="0" borderId="73" xfId="0" applyFont="1" applyFill="1" applyBorder="1" applyAlignment="1">
      <alignment vertical="center" wrapText="1"/>
    </xf>
    <xf numFmtId="3" fontId="5" fillId="0" borderId="73" xfId="0" applyNumberFormat="1" applyFont="1" applyFill="1" applyBorder="1" applyAlignment="1">
      <alignment vertical="center" wrapText="1"/>
    </xf>
    <xf numFmtId="0" fontId="1" fillId="0" borderId="5" xfId="0" applyFont="1" applyFill="1" applyBorder="1" applyAlignment="1">
      <alignment horizontal="left" indent="1"/>
    </xf>
    <xf numFmtId="3" fontId="23" fillId="3" borderId="10" xfId="0" applyNumberFormat="1" applyFont="1" applyFill="1" applyBorder="1" applyAlignment="1">
      <alignment vertical="center" wrapText="1"/>
    </xf>
    <xf numFmtId="3" fontId="0" fillId="3" borderId="10" xfId="0" applyNumberFormat="1" applyFont="1" applyFill="1" applyBorder="1" applyAlignment="1">
      <alignment vertical="center"/>
    </xf>
    <xf numFmtId="3" fontId="6" fillId="0" borderId="27" xfId="0" applyNumberFormat="1" applyFont="1" applyBorder="1" applyAlignment="1">
      <alignment horizontal="right" vertical="center" wrapText="1" indent="1"/>
    </xf>
    <xf numFmtId="0" fontId="0" fillId="0" borderId="0" xfId="0" applyBorder="1" applyAlignment="1">
      <alignment horizontal="left" vertical="center" wrapText="1" indent="1"/>
    </xf>
    <xf numFmtId="0" fontId="6" fillId="0" borderId="26" xfId="0" applyFont="1" applyBorder="1" applyAlignment="1">
      <alignment horizontal="left" vertical="center" wrapText="1"/>
    </xf>
    <xf numFmtId="0" fontId="5" fillId="0" borderId="0" xfId="0" applyFont="1" applyBorder="1" applyAlignment="1">
      <alignment horizontal="left" vertical="center" wrapText="1" indent="1"/>
    </xf>
    <xf numFmtId="0" fontId="11" fillId="0" borderId="27" xfId="0" applyFont="1" applyBorder="1" applyAlignment="1">
      <alignment horizontal="left" vertical="center" wrapText="1"/>
    </xf>
    <xf numFmtId="3" fontId="6" fillId="0" borderId="13" xfId="0" applyNumberFormat="1" applyFont="1" applyFill="1" applyBorder="1" applyAlignment="1">
      <alignment horizontal="left" vertical="center" wrapText="1" indent="1"/>
    </xf>
    <xf numFmtId="0" fontId="6" fillId="0" borderId="79" xfId="0" applyFont="1" applyBorder="1" applyAlignment="1">
      <alignment vertical="center" wrapText="1"/>
    </xf>
    <xf numFmtId="3" fontId="5" fillId="0" borderId="63" xfId="2" applyNumberFormat="1" applyFont="1" applyBorder="1" applyAlignment="1">
      <alignment horizontal="right" vertical="center" wrapText="1" indent="1"/>
    </xf>
    <xf numFmtId="0" fontId="6" fillId="0" borderId="84" xfId="0" applyFont="1" applyBorder="1" applyAlignment="1">
      <alignment vertical="center" wrapText="1"/>
    </xf>
    <xf numFmtId="0" fontId="6" fillId="0" borderId="31" xfId="0" applyFont="1" applyBorder="1" applyAlignment="1">
      <alignment vertical="center" wrapText="1"/>
    </xf>
    <xf numFmtId="3" fontId="6" fillId="0" borderId="31" xfId="0" applyNumberFormat="1" applyFont="1" applyBorder="1" applyAlignment="1">
      <alignment horizontal="right" vertical="center" wrapText="1" indent="1"/>
    </xf>
    <xf numFmtId="0" fontId="6" fillId="0" borderId="80" xfId="0" applyFont="1" applyBorder="1" applyAlignment="1">
      <alignment horizontal="left" vertical="center" wrapText="1"/>
    </xf>
    <xf numFmtId="0" fontId="6" fillId="0" borderId="65" xfId="0" applyFont="1" applyBorder="1" applyAlignment="1">
      <alignment vertical="center" wrapText="1"/>
    </xf>
    <xf numFmtId="3" fontId="3" fillId="0" borderId="21" xfId="2" applyNumberFormat="1" applyFont="1" applyBorder="1" applyAlignment="1">
      <alignment horizontal="right" vertical="center" wrapText="1" indent="1"/>
    </xf>
    <xf numFmtId="0" fontId="6" fillId="0" borderId="84" xfId="0" applyFont="1" applyBorder="1" applyAlignment="1">
      <alignment horizontal="left" vertical="center" wrapText="1"/>
    </xf>
    <xf numFmtId="0" fontId="6" fillId="0" borderId="53" xfId="0" applyFont="1" applyBorder="1" applyAlignment="1">
      <alignment horizontal="left" vertical="center" wrapText="1"/>
    </xf>
    <xf numFmtId="0" fontId="6" fillId="0" borderId="79" xfId="0" applyFont="1" applyBorder="1" applyAlignment="1">
      <alignment horizontal="left" vertical="center" wrapText="1"/>
    </xf>
    <xf numFmtId="3" fontId="6" fillId="0" borderId="13" xfId="0" applyNumberFormat="1" applyFont="1" applyBorder="1" applyAlignment="1">
      <alignment horizontal="left" vertical="center" wrapText="1" indent="1"/>
    </xf>
    <xf numFmtId="0" fontId="6" fillId="0" borderId="75" xfId="0" applyFont="1" applyBorder="1" applyAlignment="1">
      <alignment horizontal="left" vertical="center" wrapText="1"/>
    </xf>
    <xf numFmtId="0" fontId="6" fillId="0" borderId="82" xfId="0" applyFont="1" applyBorder="1" applyAlignment="1">
      <alignment horizontal="left" vertical="center" wrapText="1"/>
    </xf>
    <xf numFmtId="0" fontId="6" fillId="0" borderId="78" xfId="0" applyFont="1" applyBorder="1" applyAlignment="1">
      <alignment vertical="center" wrapText="1"/>
    </xf>
    <xf numFmtId="3" fontId="6" fillId="0" borderId="78" xfId="0" applyNumberFormat="1" applyFont="1" applyBorder="1" applyAlignment="1">
      <alignment horizontal="left" vertical="center" wrapText="1" indent="1"/>
    </xf>
    <xf numFmtId="0" fontId="6" fillId="0" borderId="81" xfId="0" applyFont="1" applyBorder="1" applyAlignment="1">
      <alignment vertical="center" wrapText="1"/>
    </xf>
    <xf numFmtId="0" fontId="6" fillId="0" borderId="12" xfId="0" applyFont="1" applyBorder="1" applyAlignment="1">
      <alignment vertical="center" wrapText="1"/>
    </xf>
    <xf numFmtId="0" fontId="6" fillId="0" borderId="14" xfId="0" applyFont="1" applyBorder="1" applyAlignment="1">
      <alignment vertical="center" wrapText="1"/>
    </xf>
    <xf numFmtId="0" fontId="6" fillId="0" borderId="74" xfId="0" applyFont="1" applyBorder="1" applyAlignment="1">
      <alignment horizontal="left" vertical="center" wrapText="1"/>
    </xf>
    <xf numFmtId="0" fontId="6" fillId="0" borderId="49" xfId="0" applyFont="1" applyBorder="1" applyAlignment="1">
      <alignment vertical="center" wrapText="1"/>
    </xf>
    <xf numFmtId="0" fontId="6" fillId="0" borderId="74" xfId="0" applyFont="1" applyBorder="1" applyAlignment="1">
      <alignment vertical="center" wrapText="1"/>
    </xf>
    <xf numFmtId="3" fontId="6" fillId="0" borderId="62" xfId="0" applyNumberFormat="1" applyFont="1" applyBorder="1" applyAlignment="1">
      <alignment horizontal="left" vertical="center" wrapText="1" indent="1"/>
    </xf>
    <xf numFmtId="0" fontId="6" fillId="0" borderId="5" xfId="0" applyFont="1" applyBorder="1" applyAlignment="1">
      <alignment horizontal="left" vertical="center" wrapText="1"/>
    </xf>
    <xf numFmtId="0" fontId="6" fillId="0" borderId="53" xfId="0" applyFont="1" applyBorder="1" applyAlignment="1">
      <alignment vertical="center" wrapText="1"/>
    </xf>
    <xf numFmtId="0" fontId="5" fillId="0" borderId="88" xfId="0" applyFont="1" applyBorder="1" applyAlignment="1">
      <alignment horizontal="left" vertical="center" wrapText="1"/>
    </xf>
    <xf numFmtId="3" fontId="6" fillId="0" borderId="21" xfId="2" applyNumberFormat="1" applyFont="1" applyBorder="1" applyAlignment="1">
      <alignment horizontal="right" vertical="center" wrapText="1" indent="1"/>
    </xf>
    <xf numFmtId="0" fontId="5" fillId="0" borderId="83" xfId="0" applyFont="1" applyBorder="1" applyAlignment="1">
      <alignment horizontal="left" vertical="center" wrapText="1"/>
    </xf>
    <xf numFmtId="3" fontId="0" fillId="0" borderId="73" xfId="0" applyNumberFormat="1" applyBorder="1" applyAlignment="1">
      <alignment horizontal="center" vertical="center" wrapText="1"/>
    </xf>
    <xf numFmtId="3" fontId="5" fillId="0" borderId="73" xfId="0" applyNumberFormat="1" applyFont="1" applyBorder="1" applyAlignment="1">
      <alignment horizontal="center" vertical="center" wrapText="1"/>
    </xf>
    <xf numFmtId="3" fontId="6" fillId="0" borderId="63" xfId="0" applyNumberFormat="1" applyFont="1" applyBorder="1" applyAlignment="1">
      <alignment horizontal="center" vertical="center" wrapText="1"/>
    </xf>
    <xf numFmtId="3" fontId="6" fillId="0" borderId="63" xfId="0" applyNumberFormat="1" applyFont="1" applyBorder="1" applyAlignment="1">
      <alignment horizontal="left" vertical="center" wrapText="1"/>
    </xf>
    <xf numFmtId="3" fontId="6" fillId="0" borderId="41" xfId="0" applyNumberFormat="1" applyFont="1" applyBorder="1" applyAlignment="1">
      <alignment horizontal="left" vertical="center" wrapText="1"/>
    </xf>
    <xf numFmtId="0" fontId="6" fillId="0" borderId="62" xfId="0" applyFont="1" applyBorder="1" applyAlignment="1">
      <alignment horizontal="center" vertical="center" wrapText="1"/>
    </xf>
    <xf numFmtId="3" fontId="5" fillId="0" borderId="11" xfId="0" applyNumberFormat="1" applyFont="1" applyBorder="1" applyAlignment="1">
      <alignment horizontal="right" vertical="center" wrapText="1" indent="1"/>
    </xf>
    <xf numFmtId="3" fontId="6" fillId="0" borderId="63" xfId="0" applyNumberFormat="1" applyFont="1" applyBorder="1" applyAlignment="1">
      <alignment vertical="center" wrapText="1"/>
    </xf>
    <xf numFmtId="3" fontId="6" fillId="0" borderId="32" xfId="0" applyNumberFormat="1" applyFont="1" applyBorder="1" applyAlignment="1">
      <alignment vertical="center" wrapText="1"/>
    </xf>
    <xf numFmtId="3" fontId="6" fillId="0" borderId="27" xfId="0" applyNumberFormat="1" applyFont="1" applyBorder="1" applyAlignment="1">
      <alignment vertical="center" wrapText="1"/>
    </xf>
    <xf numFmtId="0" fontId="5" fillId="0" borderId="89" xfId="0" applyFont="1" applyBorder="1" applyAlignment="1">
      <alignment horizontal="left" vertical="center" wrapText="1" indent="1"/>
    </xf>
    <xf numFmtId="0" fontId="6" fillId="0" borderId="1" xfId="0" applyFont="1" applyBorder="1" applyAlignment="1">
      <alignment vertical="center" wrapText="1"/>
    </xf>
    <xf numFmtId="0" fontId="0" fillId="0" borderId="12" xfId="0" applyBorder="1" applyAlignment="1">
      <alignment horizontal="left" vertical="center" wrapText="1"/>
    </xf>
    <xf numFmtId="3" fontId="5" fillId="0" borderId="13" xfId="0" applyNumberFormat="1" applyFont="1" applyBorder="1" applyAlignment="1">
      <alignment horizontal="right" vertical="center" wrapText="1" indent="1"/>
    </xf>
    <xf numFmtId="0" fontId="1" fillId="0" borderId="10" xfId="0" applyFont="1" applyFill="1" applyBorder="1" applyAlignment="1">
      <alignment vertical="center" wrapText="1"/>
    </xf>
    <xf numFmtId="0" fontId="1" fillId="0" borderId="10" xfId="0" applyFont="1" applyFill="1" applyBorder="1" applyAlignment="1">
      <alignment horizontal="center" vertical="center" wrapText="1"/>
    </xf>
    <xf numFmtId="3" fontId="0" fillId="0" borderId="73" xfId="0" applyNumberFormat="1" applyBorder="1" applyAlignment="1">
      <alignment horizontal="left" vertical="center" wrapText="1" indent="1"/>
    </xf>
    <xf numFmtId="0" fontId="6" fillId="0" borderId="12" xfId="0" applyFont="1" applyBorder="1" applyAlignment="1">
      <alignment horizontal="center" vertical="center" wrapText="1"/>
    </xf>
    <xf numFmtId="3" fontId="34" fillId="0" borderId="13" xfId="0" applyNumberFormat="1" applyFont="1" applyBorder="1" applyAlignment="1">
      <alignment horizontal="left" vertical="center" wrapText="1" indent="1"/>
    </xf>
    <xf numFmtId="3" fontId="6" fillId="0" borderId="8" xfId="0" applyNumberFormat="1" applyFont="1" applyBorder="1" applyAlignment="1">
      <alignment horizontal="left" vertical="center" wrapText="1" indent="1"/>
    </xf>
    <xf numFmtId="0" fontId="5" fillId="0" borderId="8" xfId="0" applyFont="1" applyBorder="1" applyAlignment="1">
      <alignment horizontal="center" vertical="center" wrapText="1"/>
    </xf>
    <xf numFmtId="0" fontId="0" fillId="0" borderId="3" xfId="0" applyBorder="1" applyAlignment="1">
      <alignment vertical="center" wrapText="1"/>
    </xf>
    <xf numFmtId="0" fontId="0" fillId="0" borderId="7" xfId="0" applyBorder="1" applyAlignment="1">
      <alignment horizontal="left" vertical="center" wrapText="1" indent="1"/>
    </xf>
    <xf numFmtId="0" fontId="0" fillId="0" borderId="0" xfId="0" applyBorder="1" applyAlignment="1">
      <alignment horizontal="left" vertical="center" wrapText="1" indent="1"/>
    </xf>
    <xf numFmtId="0" fontId="5" fillId="0" borderId="0" xfId="0" applyFont="1" applyBorder="1" applyAlignment="1">
      <alignment horizontal="left" vertical="center" wrapText="1" indent="1"/>
    </xf>
    <xf numFmtId="0" fontId="0" fillId="0" borderId="6" xfId="0" applyBorder="1" applyAlignment="1">
      <alignment horizontal="left" vertical="center" wrapText="1" indent="1"/>
    </xf>
    <xf numFmtId="0" fontId="6" fillId="0" borderId="32" xfId="0" applyFont="1" applyBorder="1" applyAlignment="1">
      <alignment horizontal="left" vertical="center" wrapText="1"/>
    </xf>
    <xf numFmtId="0" fontId="6" fillId="0" borderId="27" xfId="0" applyFont="1" applyBorder="1" applyAlignment="1">
      <alignment horizontal="left" vertical="center" wrapText="1"/>
    </xf>
    <xf numFmtId="0" fontId="5" fillId="0" borderId="8" xfId="0" applyFont="1" applyBorder="1" applyAlignment="1">
      <alignment horizontal="left" vertical="center" wrapText="1" indent="1"/>
    </xf>
    <xf numFmtId="0" fontId="0" fillId="0" borderId="3" xfId="0" applyBorder="1" applyAlignment="1">
      <alignment horizontal="left" vertical="center" wrapText="1"/>
    </xf>
    <xf numFmtId="0" fontId="11" fillId="0" borderId="32" xfId="0" applyFont="1" applyBorder="1" applyAlignment="1">
      <alignment horizontal="left" vertical="center" wrapText="1"/>
    </xf>
    <xf numFmtId="0" fontId="0" fillId="0" borderId="32" xfId="0" applyBorder="1" applyAlignment="1">
      <alignment horizontal="left" vertical="center" wrapText="1"/>
    </xf>
    <xf numFmtId="0" fontId="0" fillId="0" borderId="30" xfId="0" applyBorder="1" applyAlignment="1">
      <alignment horizontal="left" vertical="center" wrapText="1" indent="1"/>
    </xf>
    <xf numFmtId="0" fontId="6" fillId="0" borderId="8" xfId="0" applyFont="1" applyBorder="1" applyAlignment="1">
      <alignment horizontal="left" vertical="center" wrapText="1"/>
    </xf>
    <xf numFmtId="0" fontId="6" fillId="0" borderId="3" xfId="0" applyFont="1" applyBorder="1" applyAlignment="1">
      <alignment horizontal="left" vertical="center" wrapText="1"/>
    </xf>
    <xf numFmtId="0" fontId="6" fillId="0" borderId="17" xfId="0" applyFont="1" applyBorder="1" applyAlignment="1">
      <alignment horizontal="left" vertical="center" wrapText="1"/>
    </xf>
    <xf numFmtId="0" fontId="5" fillId="0" borderId="5" xfId="0" applyFont="1" applyBorder="1" applyAlignment="1">
      <alignment horizontal="left" vertical="center" wrapText="1" indent="1"/>
    </xf>
    <xf numFmtId="0" fontId="0" fillId="0" borderId="11" xfId="0" applyBorder="1" applyAlignment="1">
      <alignment horizontal="left" vertical="center" wrapText="1"/>
    </xf>
    <xf numFmtId="3" fontId="6" fillId="0" borderId="38" xfId="0" applyNumberFormat="1" applyFont="1" applyBorder="1" applyAlignment="1">
      <alignment horizontal="right" vertical="center" wrapText="1" indent="1"/>
    </xf>
    <xf numFmtId="0" fontId="5" fillId="0" borderId="74" xfId="0" applyFont="1" applyBorder="1" applyAlignment="1">
      <alignment vertical="center" wrapText="1"/>
    </xf>
    <xf numFmtId="0" fontId="6" fillId="0" borderId="71" xfId="0" applyFont="1" applyBorder="1" applyAlignment="1">
      <alignment horizontal="left" vertical="center" wrapText="1"/>
    </xf>
    <xf numFmtId="0" fontId="6" fillId="0" borderId="72" xfId="0" applyFont="1" applyBorder="1" applyAlignment="1">
      <alignment horizontal="left" vertical="center" wrapText="1"/>
    </xf>
    <xf numFmtId="0" fontId="6" fillId="0" borderId="89" xfId="0" applyFont="1" applyBorder="1" applyAlignment="1">
      <alignment horizontal="left" vertical="center" wrapText="1"/>
    </xf>
    <xf numFmtId="0" fontId="0" fillId="0" borderId="5" xfId="0" applyBorder="1" applyAlignment="1">
      <alignment horizontal="left" vertical="center" wrapText="1"/>
    </xf>
    <xf numFmtId="0" fontId="6" fillId="0" borderId="58" xfId="0" applyFont="1" applyBorder="1" applyAlignment="1">
      <alignment horizontal="left" vertical="center" wrapText="1"/>
    </xf>
    <xf numFmtId="0" fontId="6" fillId="0" borderId="59" xfId="0" applyFont="1" applyBorder="1" applyAlignment="1">
      <alignment horizontal="left" vertical="center" wrapText="1"/>
    </xf>
    <xf numFmtId="0" fontId="6" fillId="0" borderId="60" xfId="0" applyFont="1" applyBorder="1" applyAlignment="1">
      <alignment horizontal="left" vertical="center" wrapText="1"/>
    </xf>
    <xf numFmtId="3" fontId="5" fillId="0" borderId="1" xfId="0" applyNumberFormat="1" applyFont="1" applyBorder="1" applyAlignment="1">
      <alignment horizontal="left" vertical="center" wrapText="1" indent="1"/>
    </xf>
    <xf numFmtId="3" fontId="6" fillId="0" borderId="66" xfId="0" applyNumberFormat="1" applyFont="1" applyBorder="1" applyAlignment="1">
      <alignment horizontal="right" vertical="center" wrapText="1" indent="1"/>
    </xf>
    <xf numFmtId="3" fontId="6" fillId="0" borderId="67" xfId="0" applyNumberFormat="1" applyFont="1" applyBorder="1" applyAlignment="1">
      <alignment horizontal="right" vertical="center" wrapText="1" indent="1"/>
    </xf>
    <xf numFmtId="3" fontId="6" fillId="0" borderId="70" xfId="0" applyNumberFormat="1" applyFont="1" applyBorder="1" applyAlignment="1">
      <alignment horizontal="right" vertical="center" wrapText="1" indent="1"/>
    </xf>
    <xf numFmtId="3" fontId="6" fillId="0" borderId="73" xfId="0" applyNumberFormat="1" applyFont="1" applyBorder="1" applyAlignment="1">
      <alignment horizontal="left" vertical="center" wrapText="1" indent="1"/>
    </xf>
    <xf numFmtId="3" fontId="11" fillId="0" borderId="28" xfId="0" applyNumberFormat="1" applyFont="1" applyBorder="1" applyAlignment="1">
      <alignment horizontal="right" vertical="center" wrapText="1" indent="1"/>
    </xf>
    <xf numFmtId="0" fontId="0" fillId="0" borderId="32" xfId="0" applyBorder="1" applyAlignment="1">
      <alignment vertical="center" wrapText="1"/>
    </xf>
    <xf numFmtId="0" fontId="0" fillId="0" borderId="3" xfId="0" applyBorder="1" applyAlignment="1">
      <alignment vertical="center" wrapText="1"/>
    </xf>
    <xf numFmtId="0" fontId="0" fillId="0" borderId="6" xfId="0" applyBorder="1" applyAlignment="1">
      <alignment vertical="center" wrapText="1"/>
    </xf>
    <xf numFmtId="3" fontId="0" fillId="0" borderId="28" xfId="0" applyNumberFormat="1" applyBorder="1" applyAlignment="1">
      <alignment horizontal="left" vertical="center" wrapText="1" indent="1"/>
    </xf>
    <xf numFmtId="0" fontId="5" fillId="0" borderId="33" xfId="0" applyFont="1" applyBorder="1" applyAlignment="1">
      <alignment horizontal="left" vertical="center" wrapText="1" indent="1"/>
    </xf>
    <xf numFmtId="0" fontId="0" fillId="0" borderId="0" xfId="0" applyBorder="1" applyAlignment="1">
      <alignment horizontal="left" vertical="center" wrapText="1" indent="1"/>
    </xf>
    <xf numFmtId="0" fontId="6" fillId="0" borderId="26" xfId="0" applyFont="1" applyBorder="1" applyAlignment="1">
      <alignment horizontal="left" vertical="center" wrapText="1"/>
    </xf>
    <xf numFmtId="0" fontId="5" fillId="0" borderId="0" xfId="0" applyFont="1" applyBorder="1" applyAlignment="1">
      <alignment horizontal="left" vertical="center" wrapText="1" indent="1"/>
    </xf>
    <xf numFmtId="0" fontId="6" fillId="0" borderId="32" xfId="0" applyFont="1" applyBorder="1" applyAlignment="1">
      <alignment horizontal="left" vertical="center" wrapText="1"/>
    </xf>
    <xf numFmtId="0" fontId="0" fillId="0" borderId="6" xfId="0" applyBorder="1" applyAlignment="1">
      <alignment horizontal="left" vertical="center" wrapText="1" indent="1"/>
    </xf>
    <xf numFmtId="0" fontId="5" fillId="0" borderId="8" xfId="0" applyFont="1" applyBorder="1" applyAlignment="1">
      <alignment horizontal="left" vertical="center" wrapText="1" indent="1"/>
    </xf>
    <xf numFmtId="0" fontId="5" fillId="0" borderId="6" xfId="0" applyFont="1" applyBorder="1" applyAlignment="1">
      <alignment horizontal="left" vertical="center" wrapText="1" indent="1"/>
    </xf>
    <xf numFmtId="0" fontId="5" fillId="0" borderId="32" xfId="0" applyFont="1" applyBorder="1" applyAlignment="1">
      <alignment horizontal="left" vertical="center" wrapText="1"/>
    </xf>
    <xf numFmtId="0" fontId="0" fillId="0" borderId="3" xfId="0" applyBorder="1" applyAlignment="1">
      <alignment horizontal="left" vertical="center" wrapText="1" indent="1"/>
    </xf>
    <xf numFmtId="0" fontId="0" fillId="0" borderId="56" xfId="0" applyBorder="1" applyAlignment="1">
      <alignment horizontal="left" vertical="center" wrapText="1" indent="1"/>
    </xf>
    <xf numFmtId="0" fontId="5" fillId="0" borderId="18" xfId="0" applyFont="1" applyBorder="1" applyAlignment="1">
      <alignment horizontal="left" vertical="center" wrapText="1"/>
    </xf>
    <xf numFmtId="0" fontId="6" fillId="0" borderId="16" xfId="0" applyFont="1" applyBorder="1" applyAlignment="1">
      <alignment horizontal="left" vertical="center" wrapText="1"/>
    </xf>
    <xf numFmtId="0" fontId="6" fillId="0" borderId="10" xfId="0" applyFont="1" applyBorder="1" applyAlignment="1">
      <alignment horizontal="left" vertical="center" wrapText="1"/>
    </xf>
    <xf numFmtId="0" fontId="6" fillId="0" borderId="54" xfId="0" applyFont="1" applyBorder="1" applyAlignment="1">
      <alignment horizontal="left" vertical="center" wrapText="1"/>
    </xf>
    <xf numFmtId="0" fontId="6" fillId="0" borderId="50" xfId="0" applyFont="1" applyBorder="1" applyAlignment="1">
      <alignment horizontal="left" vertical="center" wrapText="1"/>
    </xf>
    <xf numFmtId="0" fontId="6" fillId="0" borderId="19" xfId="0" applyFont="1" applyBorder="1" applyAlignment="1">
      <alignment horizontal="left" vertical="center" wrapText="1"/>
    </xf>
    <xf numFmtId="0" fontId="0" fillId="0" borderId="0" xfId="0" applyBorder="1" applyAlignment="1">
      <alignment horizontal="left" vertical="center" wrapText="1"/>
    </xf>
    <xf numFmtId="0" fontId="6" fillId="0" borderId="46" xfId="0" applyFont="1" applyBorder="1" applyAlignment="1">
      <alignment horizontal="left" vertical="center" wrapText="1"/>
    </xf>
    <xf numFmtId="3" fontId="5" fillId="0" borderId="28" xfId="0" applyNumberFormat="1" applyFont="1" applyBorder="1" applyAlignment="1">
      <alignment vertical="center" wrapText="1"/>
    </xf>
    <xf numFmtId="0" fontId="6" fillId="0" borderId="48" xfId="0" applyFont="1" applyBorder="1" applyAlignment="1">
      <alignment horizontal="left" vertical="center" wrapText="1"/>
    </xf>
    <xf numFmtId="0" fontId="1" fillId="0" borderId="1" xfId="0" applyFont="1" applyBorder="1" applyAlignment="1">
      <alignment horizontal="left" vertical="center" indent="1"/>
    </xf>
    <xf numFmtId="3" fontId="0" fillId="0" borderId="23" xfId="0" applyNumberFormat="1" applyBorder="1" applyAlignment="1">
      <alignment horizontal="left" vertical="center" wrapText="1" indent="1"/>
    </xf>
    <xf numFmtId="0" fontId="0" fillId="0" borderId="90" xfId="0" applyBorder="1" applyAlignment="1">
      <alignment horizontal="left" vertical="center" wrapText="1"/>
    </xf>
    <xf numFmtId="3" fontId="5" fillId="0" borderId="90" xfId="0" applyNumberFormat="1" applyFont="1" applyBorder="1" applyAlignment="1">
      <alignment horizontal="right" vertical="center" wrapText="1" indent="1"/>
    </xf>
    <xf numFmtId="0" fontId="0" fillId="0" borderId="91" xfId="0" applyBorder="1" applyAlignment="1">
      <alignment horizontal="left" vertical="center" wrapText="1"/>
    </xf>
    <xf numFmtId="0" fontId="5" fillId="0" borderId="92" xfId="0" applyFont="1" applyBorder="1" applyAlignment="1">
      <alignment horizontal="left" vertical="center" wrapText="1"/>
    </xf>
    <xf numFmtId="3" fontId="23" fillId="8" borderId="10" xfId="0" applyNumberFormat="1" applyFont="1" applyFill="1" applyBorder="1" applyAlignment="1">
      <alignment vertical="center" wrapText="1"/>
    </xf>
    <xf numFmtId="0" fontId="5" fillId="8" borderId="30" xfId="0" applyFont="1" applyFill="1" applyBorder="1" applyAlignment="1">
      <alignment horizontal="left" vertical="center" wrapText="1"/>
    </xf>
    <xf numFmtId="0" fontId="0" fillId="8" borderId="27" xfId="0" applyFill="1" applyBorder="1" applyAlignment="1">
      <alignment horizontal="left" vertical="center" wrapText="1"/>
    </xf>
    <xf numFmtId="3" fontId="5" fillId="8" borderId="27" xfId="0" applyNumberFormat="1" applyFont="1" applyFill="1" applyBorder="1" applyAlignment="1">
      <alignment horizontal="right" vertical="center" wrapText="1" indent="1"/>
    </xf>
    <xf numFmtId="0" fontId="17" fillId="8" borderId="11" xfId="0" applyFont="1" applyFill="1" applyBorder="1" applyAlignment="1">
      <alignment vertical="center" wrapText="1"/>
    </xf>
    <xf numFmtId="0" fontId="17" fillId="8" borderId="2" xfId="0" applyFont="1" applyFill="1" applyBorder="1" applyAlignment="1">
      <alignment vertical="center" wrapText="1"/>
    </xf>
    <xf numFmtId="3" fontId="17" fillId="8" borderId="27" xfId="0" applyNumberFormat="1" applyFont="1" applyFill="1" applyBorder="1" applyAlignment="1">
      <alignment horizontal="right" vertical="center" wrapText="1" indent="1"/>
    </xf>
    <xf numFmtId="0" fontId="5" fillId="8" borderId="30" xfId="0" applyFont="1" applyFill="1" applyBorder="1" applyAlignment="1">
      <alignment vertical="center" wrapText="1"/>
    </xf>
    <xf numFmtId="0" fontId="5" fillId="8" borderId="35" xfId="0" applyFont="1" applyFill="1" applyBorder="1" applyAlignment="1">
      <alignment vertical="center" wrapText="1"/>
    </xf>
    <xf numFmtId="3" fontId="5" fillId="8" borderId="3" xfId="0" applyNumberFormat="1" applyFont="1" applyFill="1" applyBorder="1" applyAlignment="1">
      <alignment horizontal="right" vertical="center" wrapText="1" indent="1"/>
    </xf>
    <xf numFmtId="0" fontId="5" fillId="8" borderId="1" xfId="0" applyFont="1" applyFill="1" applyBorder="1" applyAlignment="1">
      <alignment horizontal="left" vertical="center" wrapText="1" indent="1"/>
    </xf>
    <xf numFmtId="0" fontId="1" fillId="8" borderId="27" xfId="0" applyFont="1" applyFill="1" applyBorder="1" applyAlignment="1">
      <alignment horizontal="center" vertical="center" wrapText="1"/>
    </xf>
    <xf numFmtId="0" fontId="5" fillId="8" borderId="30" xfId="0" applyFont="1" applyFill="1" applyBorder="1" applyAlignment="1">
      <alignment horizontal="left" vertical="center" wrapText="1" indent="1"/>
    </xf>
    <xf numFmtId="0" fontId="1" fillId="8" borderId="1" xfId="0" applyFont="1" applyFill="1" applyBorder="1" applyAlignment="1">
      <alignment horizontal="center" vertical="center" wrapText="1"/>
    </xf>
    <xf numFmtId="0" fontId="5" fillId="8" borderId="35" xfId="0" applyFont="1" applyFill="1" applyBorder="1" applyAlignment="1">
      <alignment horizontal="left" vertical="center" wrapText="1" indent="1"/>
    </xf>
    <xf numFmtId="0" fontId="5" fillId="8" borderId="35" xfId="0" applyFont="1" applyFill="1" applyBorder="1" applyAlignment="1">
      <alignment horizontal="left" vertical="center" wrapText="1"/>
    </xf>
    <xf numFmtId="0" fontId="5" fillId="8" borderId="1" xfId="0" applyFont="1" applyFill="1" applyBorder="1" applyAlignment="1">
      <alignment horizontal="center" vertical="center" wrapText="1"/>
    </xf>
    <xf numFmtId="3" fontId="5" fillId="8" borderId="27" xfId="2" applyNumberFormat="1" applyFont="1" applyFill="1" applyBorder="1" applyAlignment="1">
      <alignment horizontal="right" vertical="center" wrapText="1" indent="1"/>
    </xf>
    <xf numFmtId="3" fontId="11" fillId="0" borderId="6" xfId="0" applyNumberFormat="1" applyFont="1" applyBorder="1" applyAlignment="1">
      <alignment horizontal="left" vertical="center" wrapText="1" indent="1"/>
    </xf>
    <xf numFmtId="3" fontId="31" fillId="0" borderId="6" xfId="0" applyNumberFormat="1" applyFont="1" applyBorder="1" applyAlignment="1">
      <alignment horizontal="left" vertical="center" wrapText="1" indent="1"/>
    </xf>
    <xf numFmtId="3" fontId="31" fillId="0" borderId="1" xfId="0" applyNumberFormat="1" applyFont="1" applyBorder="1" applyAlignment="1">
      <alignment horizontal="left" vertical="center" wrapText="1" indent="1"/>
    </xf>
    <xf numFmtId="3" fontId="0" fillId="0" borderId="38" xfId="0" applyNumberFormat="1" applyBorder="1" applyAlignment="1">
      <alignment horizontal="left" vertical="center" wrapText="1" indent="1"/>
    </xf>
    <xf numFmtId="3" fontId="0" fillId="0" borderId="1" xfId="0" applyNumberFormat="1" applyBorder="1" applyAlignment="1">
      <alignment horizontal="left" vertical="center" wrapText="1" indent="1"/>
    </xf>
    <xf numFmtId="3" fontId="33" fillId="0" borderId="6" xfId="0" applyNumberFormat="1" applyFont="1" applyBorder="1" applyAlignment="1">
      <alignment horizontal="left" vertical="center" wrapText="1" indent="1"/>
    </xf>
    <xf numFmtId="3" fontId="31" fillId="0" borderId="38" xfId="0" applyNumberFormat="1" applyFont="1" applyBorder="1" applyAlignment="1">
      <alignment horizontal="left" vertical="center" wrapText="1" indent="1"/>
    </xf>
    <xf numFmtId="3" fontId="31" fillId="0" borderId="46" xfId="0" applyNumberFormat="1" applyFont="1" applyBorder="1" applyAlignment="1">
      <alignment horizontal="left" vertical="center" wrapText="1" indent="1"/>
    </xf>
    <xf numFmtId="3" fontId="5" fillId="0" borderId="8" xfId="0" applyNumberFormat="1" applyFont="1" applyBorder="1" applyAlignment="1">
      <alignment horizontal="left" vertical="center" wrapText="1" indent="1"/>
    </xf>
    <xf numFmtId="0" fontId="11" fillId="0" borderId="5" xfId="0" applyFont="1" applyBorder="1" applyAlignment="1">
      <alignment vertical="center" wrapText="1"/>
    </xf>
    <xf numFmtId="3" fontId="11" fillId="0" borderId="1" xfId="0" applyNumberFormat="1" applyFont="1" applyBorder="1" applyAlignment="1">
      <alignment horizontal="left" vertical="center" wrapText="1" indent="1"/>
    </xf>
    <xf numFmtId="3" fontId="6" fillId="0" borderId="1" xfId="0" applyNumberFormat="1" applyFont="1" applyBorder="1" applyAlignment="1">
      <alignment horizontal="left" vertical="center" wrapText="1" indent="1"/>
    </xf>
    <xf numFmtId="0" fontId="11" fillId="0" borderId="5" xfId="0" applyFont="1" applyBorder="1" applyAlignment="1">
      <alignment horizontal="left" vertical="center" wrapText="1"/>
    </xf>
    <xf numFmtId="0" fontId="11" fillId="0" borderId="57" xfId="0" applyFont="1" applyBorder="1" applyAlignment="1">
      <alignment horizontal="left" vertical="center" wrapText="1" indent="1"/>
    </xf>
    <xf numFmtId="0" fontId="0" fillId="0" borderId="2" xfId="0" applyBorder="1" applyAlignment="1">
      <alignment vertical="center" wrapText="1"/>
    </xf>
    <xf numFmtId="0" fontId="0" fillId="0" borderId="1" xfId="0" applyBorder="1" applyAlignment="1">
      <alignment horizontal="left" vertical="center" wrapText="1"/>
    </xf>
    <xf numFmtId="0" fontId="0" fillId="0" borderId="37" xfId="0" applyBorder="1" applyAlignment="1">
      <alignment vertical="center" wrapText="1"/>
    </xf>
    <xf numFmtId="0" fontId="0" fillId="0" borderId="32" xfId="0" applyBorder="1" applyAlignment="1">
      <alignment horizontal="left" vertical="center" wrapText="1" indent="1"/>
    </xf>
    <xf numFmtId="0" fontId="0" fillId="0" borderId="0" xfId="0" applyBorder="1" applyAlignment="1">
      <alignment horizontal="left" vertical="center" wrapText="1" indent="1"/>
    </xf>
    <xf numFmtId="0" fontId="0" fillId="0" borderId="6" xfId="0" applyBorder="1" applyAlignment="1">
      <alignment horizontal="left" vertical="center" wrapText="1" indent="1"/>
    </xf>
    <xf numFmtId="0" fontId="6" fillId="0" borderId="32" xfId="0" applyFont="1" applyBorder="1" applyAlignment="1">
      <alignment horizontal="left" vertical="center" wrapText="1"/>
    </xf>
    <xf numFmtId="0" fontId="5" fillId="0" borderId="8" xfId="0" applyFont="1" applyBorder="1" applyAlignment="1">
      <alignment horizontal="left" vertical="center" wrapText="1" indent="1"/>
    </xf>
    <xf numFmtId="0" fontId="5" fillId="0" borderId="32" xfId="0" applyFont="1" applyBorder="1" applyAlignment="1">
      <alignment horizontal="left" vertical="center" wrapText="1"/>
    </xf>
    <xf numFmtId="0" fontId="0" fillId="0" borderId="56" xfId="0" applyBorder="1" applyAlignment="1">
      <alignment horizontal="left" vertical="center" wrapText="1" indent="1"/>
    </xf>
    <xf numFmtId="0" fontId="0" fillId="0" borderId="3" xfId="0" applyBorder="1" applyAlignment="1">
      <alignment horizontal="left" vertical="center" wrapText="1"/>
    </xf>
    <xf numFmtId="0" fontId="11" fillId="0" borderId="30" xfId="0" applyFont="1" applyBorder="1" applyAlignment="1">
      <alignment horizontal="left" vertical="center" wrapText="1"/>
    </xf>
    <xf numFmtId="0" fontId="11" fillId="0" borderId="55" xfId="0" applyFont="1" applyBorder="1" applyAlignment="1">
      <alignment vertical="center" wrapText="1"/>
    </xf>
    <xf numFmtId="0" fontId="11" fillId="0" borderId="56" xfId="0" applyFont="1" applyBorder="1" applyAlignment="1">
      <alignment horizontal="left" vertical="center" wrapText="1"/>
    </xf>
    <xf numFmtId="0" fontId="11" fillId="0" borderId="47" xfId="0" applyFont="1" applyBorder="1" applyAlignment="1">
      <alignment horizontal="left" vertical="center" wrapText="1"/>
    </xf>
    <xf numFmtId="3" fontId="5" fillId="0" borderId="1" xfId="0" applyNumberFormat="1" applyFont="1" applyBorder="1" applyAlignment="1">
      <alignment vertical="center" wrapText="1"/>
    </xf>
    <xf numFmtId="3" fontId="6" fillId="0" borderId="1" xfId="0" applyNumberFormat="1" applyFont="1" applyBorder="1" applyAlignment="1">
      <alignment horizontal="right" vertical="center" wrapText="1" indent="1"/>
    </xf>
    <xf numFmtId="3" fontId="6" fillId="0" borderId="23" xfId="0" applyNumberFormat="1" applyFont="1" applyBorder="1" applyAlignment="1">
      <alignment horizontal="left" vertical="center" wrapText="1" indent="1"/>
    </xf>
    <xf numFmtId="3" fontId="6" fillId="0" borderId="93" xfId="0" applyNumberFormat="1" applyFont="1" applyBorder="1" applyAlignment="1">
      <alignment horizontal="right" vertical="center" wrapText="1" indent="1"/>
    </xf>
    <xf numFmtId="3" fontId="5" fillId="0" borderId="93" xfId="0" applyNumberFormat="1" applyFont="1" applyBorder="1" applyAlignment="1">
      <alignment horizontal="right" vertical="center" wrapText="1" indent="1"/>
    </xf>
    <xf numFmtId="3" fontId="5" fillId="0" borderId="46" xfId="0" applyNumberFormat="1" applyFont="1" applyBorder="1" applyAlignment="1">
      <alignment horizontal="right" vertical="center" wrapText="1" indent="1"/>
    </xf>
    <xf numFmtId="0" fontId="3" fillId="0" borderId="33" xfId="0" applyFont="1" applyBorder="1" applyAlignment="1">
      <alignment horizontal="left" vertical="center" wrapText="1" indent="1"/>
    </xf>
    <xf numFmtId="3" fontId="6" fillId="0" borderId="11" xfId="0" applyNumberFormat="1" applyFont="1" applyBorder="1" applyAlignment="1">
      <alignment horizontal="left" vertical="center" wrapText="1" indent="1"/>
    </xf>
    <xf numFmtId="0" fontId="0" fillId="8" borderId="30" xfId="0" applyFill="1" applyBorder="1" applyAlignment="1">
      <alignment horizontal="left" vertical="center" wrapText="1" indent="1"/>
    </xf>
    <xf numFmtId="0" fontId="5" fillId="8" borderId="5" xfId="0" applyFont="1" applyFill="1" applyBorder="1" applyAlignment="1">
      <alignment vertical="center" wrapText="1"/>
    </xf>
    <xf numFmtId="0" fontId="5" fillId="8" borderId="11" xfId="0" applyFont="1" applyFill="1" applyBorder="1" applyAlignment="1">
      <alignment vertical="center" wrapText="1"/>
    </xf>
    <xf numFmtId="0" fontId="5" fillId="8" borderId="2" xfId="0" applyFont="1" applyFill="1" applyBorder="1" applyAlignment="1">
      <alignment vertical="center" wrapText="1"/>
    </xf>
    <xf numFmtId="3" fontId="5" fillId="8" borderId="1" xfId="0" applyNumberFormat="1" applyFont="1" applyFill="1" applyBorder="1" applyAlignment="1">
      <alignment horizontal="right" vertical="center" wrapText="1" indent="1"/>
    </xf>
    <xf numFmtId="0" fontId="0" fillId="8" borderId="2" xfId="0" applyFill="1" applyBorder="1" applyAlignment="1">
      <alignment horizontal="left" vertical="center" wrapText="1"/>
    </xf>
    <xf numFmtId="3" fontId="5" fillId="8" borderId="27" xfId="0" applyNumberFormat="1" applyFont="1" applyFill="1" applyBorder="1" applyAlignment="1">
      <alignment horizontal="left" vertical="center" wrapText="1"/>
    </xf>
    <xf numFmtId="0" fontId="3" fillId="0" borderId="63" xfId="0" applyFont="1" applyBorder="1" applyAlignment="1">
      <alignment horizontal="left" vertical="center" wrapText="1"/>
    </xf>
    <xf numFmtId="0" fontId="5" fillId="8" borderId="25" xfId="0" applyFont="1" applyFill="1" applyBorder="1" applyAlignment="1">
      <alignment vertical="center" wrapText="1"/>
    </xf>
    <xf numFmtId="0" fontId="5" fillId="8" borderId="25" xfId="0" applyFont="1" applyFill="1" applyBorder="1" applyAlignment="1">
      <alignment horizontal="left" vertical="center" wrapText="1" indent="1"/>
    </xf>
    <xf numFmtId="0" fontId="5" fillId="8" borderId="25" xfId="0" applyFont="1" applyFill="1" applyBorder="1" applyAlignment="1">
      <alignment horizontal="left" vertical="center" wrapText="1"/>
    </xf>
    <xf numFmtId="3" fontId="5" fillId="8" borderId="25" xfId="0" applyNumberFormat="1" applyFont="1" applyFill="1" applyBorder="1" applyAlignment="1">
      <alignment horizontal="right" vertical="center" wrapText="1" indent="1"/>
    </xf>
    <xf numFmtId="0" fontId="0" fillId="8" borderId="25" xfId="0" applyFill="1" applyBorder="1" applyAlignment="1">
      <alignment horizontal="left" vertical="center" wrapText="1"/>
    </xf>
    <xf numFmtId="0" fontId="5" fillId="8" borderId="5" xfId="0" applyFont="1" applyFill="1" applyBorder="1" applyAlignment="1">
      <alignment horizontal="left" vertical="center" wrapText="1"/>
    </xf>
    <xf numFmtId="0" fontId="0" fillId="8" borderId="63" xfId="0" applyFill="1" applyBorder="1" applyAlignment="1">
      <alignment horizontal="left" vertical="center" wrapText="1"/>
    </xf>
    <xf numFmtId="3" fontId="5" fillId="8" borderId="63" xfId="0" applyNumberFormat="1" applyFont="1" applyFill="1" applyBorder="1" applyAlignment="1">
      <alignment horizontal="right" vertical="center" wrapText="1" indent="1"/>
    </xf>
    <xf numFmtId="3" fontId="5" fillId="0" borderId="32" xfId="0" applyNumberFormat="1" applyFont="1" applyBorder="1" applyAlignment="1">
      <alignment vertical="center" wrapText="1"/>
    </xf>
    <xf numFmtId="0" fontId="0" fillId="0" borderId="41" xfId="0" applyBorder="1" applyAlignment="1">
      <alignment horizontal="left" vertical="center" wrapText="1"/>
    </xf>
    <xf numFmtId="0" fontId="0" fillId="0" borderId="9" xfId="0" applyBorder="1" applyAlignment="1">
      <alignment horizontal="left" vertical="center" wrapText="1"/>
    </xf>
    <xf numFmtId="3" fontId="0" fillId="0" borderId="10" xfId="0" applyNumberFormat="1" applyBorder="1" applyAlignment="1">
      <alignment horizontal="left" vertical="center" wrapText="1" indent="1"/>
    </xf>
    <xf numFmtId="3" fontId="0" fillId="0" borderId="16" xfId="0" applyNumberFormat="1" applyBorder="1" applyAlignment="1">
      <alignment vertical="center" wrapText="1"/>
    </xf>
    <xf numFmtId="0" fontId="5" fillId="0" borderId="56" xfId="0" applyFont="1" applyBorder="1" applyAlignment="1">
      <alignment vertical="center" wrapText="1"/>
    </xf>
    <xf numFmtId="3" fontId="0" fillId="0" borderId="48" xfId="0" applyNumberFormat="1" applyBorder="1" applyAlignment="1">
      <alignment horizontal="left" vertical="center" wrapText="1" indent="1"/>
    </xf>
    <xf numFmtId="3" fontId="5" fillId="0" borderId="11" xfId="0" applyNumberFormat="1" applyFont="1" applyBorder="1" applyAlignment="1">
      <alignment vertical="center" wrapText="1"/>
    </xf>
    <xf numFmtId="0" fontId="6" fillId="0" borderId="83" xfId="0" applyFont="1" applyBorder="1" applyAlignment="1">
      <alignment horizontal="left" vertical="center" wrapText="1"/>
    </xf>
    <xf numFmtId="3" fontId="6" fillId="0" borderId="78" xfId="0" applyNumberFormat="1" applyFont="1" applyBorder="1" applyAlignment="1">
      <alignment vertical="center" wrapText="1"/>
    </xf>
    <xf numFmtId="3" fontId="6" fillId="0" borderId="13" xfId="0" applyNumberFormat="1" applyFont="1" applyBorder="1" applyAlignment="1">
      <alignment vertical="center" wrapText="1"/>
    </xf>
    <xf numFmtId="3" fontId="5" fillId="0" borderId="13" xfId="0" applyNumberFormat="1" applyFont="1" applyBorder="1" applyAlignment="1">
      <alignment vertical="center" wrapText="1"/>
    </xf>
    <xf numFmtId="0" fontId="6" fillId="0" borderId="94" xfId="0" applyFont="1" applyBorder="1" applyAlignment="1">
      <alignment horizontal="left" vertical="center" wrapText="1"/>
    </xf>
    <xf numFmtId="3" fontId="6" fillId="0" borderId="86" xfId="0" applyNumberFormat="1" applyFont="1" applyBorder="1" applyAlignment="1">
      <alignment vertical="center" wrapText="1"/>
    </xf>
    <xf numFmtId="0" fontId="6" fillId="0" borderId="87" xfId="0" applyFont="1" applyBorder="1" applyAlignment="1">
      <alignment horizontal="left" vertical="center" wrapText="1"/>
    </xf>
    <xf numFmtId="3" fontId="5" fillId="0" borderId="57" xfId="0" applyNumberFormat="1" applyFont="1" applyBorder="1" applyAlignment="1">
      <alignment vertical="center" wrapText="1"/>
    </xf>
    <xf numFmtId="0" fontId="0" fillId="0" borderId="28" xfId="0" applyBorder="1" applyAlignment="1">
      <alignment vertical="center" wrapText="1"/>
    </xf>
    <xf numFmtId="0" fontId="0" fillId="0" borderId="32" xfId="0" applyBorder="1" applyAlignment="1">
      <alignment vertical="center" wrapText="1"/>
    </xf>
    <xf numFmtId="0" fontId="0" fillId="0" borderId="37" xfId="0" applyBorder="1" applyAlignment="1">
      <alignment vertical="center" wrapText="1"/>
    </xf>
    <xf numFmtId="0" fontId="0" fillId="0" borderId="3" xfId="0" applyBorder="1" applyAlignment="1">
      <alignment vertical="center" wrapText="1"/>
    </xf>
    <xf numFmtId="0" fontId="0" fillId="0" borderId="6" xfId="0" applyBorder="1" applyAlignment="1">
      <alignment vertical="center" wrapText="1"/>
    </xf>
    <xf numFmtId="0" fontId="0" fillId="0" borderId="7" xfId="0" applyFill="1" applyBorder="1" applyAlignment="1">
      <alignment horizontal="left" vertical="center" wrapText="1"/>
    </xf>
    <xf numFmtId="0" fontId="0" fillId="0" borderId="32" xfId="0" applyBorder="1" applyAlignment="1">
      <alignment horizontal="left" vertical="center" wrapText="1" indent="1"/>
    </xf>
    <xf numFmtId="0" fontId="5" fillId="0" borderId="32" xfId="0" applyFont="1" applyBorder="1" applyAlignment="1">
      <alignment horizontal="left" vertical="center" wrapText="1" indent="1"/>
    </xf>
    <xf numFmtId="0" fontId="0" fillId="0" borderId="0" xfId="0" applyBorder="1" applyAlignment="1">
      <alignment horizontal="left" vertical="center" wrapText="1" indent="1"/>
    </xf>
    <xf numFmtId="0" fontId="6" fillId="0" borderId="27" xfId="0" applyFont="1" applyBorder="1" applyAlignment="1">
      <alignment horizontal="left" vertical="center" wrapText="1"/>
    </xf>
    <xf numFmtId="0" fontId="5" fillId="0" borderId="0" xfId="0" applyFont="1" applyBorder="1" applyAlignment="1">
      <alignment horizontal="left" vertical="center" wrapText="1" indent="1"/>
    </xf>
    <xf numFmtId="0" fontId="6" fillId="0" borderId="32" xfId="0" applyFont="1" applyBorder="1" applyAlignment="1">
      <alignment horizontal="left" vertical="center" wrapText="1"/>
    </xf>
    <xf numFmtId="0" fontId="0" fillId="0" borderId="6" xfId="0" applyBorder="1" applyAlignment="1">
      <alignment horizontal="left" vertical="center" wrapText="1" indent="1"/>
    </xf>
    <xf numFmtId="0" fontId="5" fillId="0" borderId="5" xfId="0" applyFont="1" applyBorder="1" applyAlignment="1">
      <alignment horizontal="left" vertical="center" wrapText="1" indent="1"/>
    </xf>
    <xf numFmtId="0" fontId="5" fillId="0" borderId="8" xfId="0" applyFont="1" applyBorder="1" applyAlignment="1">
      <alignment horizontal="left" vertical="center" wrapText="1" indent="1"/>
    </xf>
    <xf numFmtId="0" fontId="0" fillId="0" borderId="3" xfId="0" applyBorder="1" applyAlignment="1">
      <alignment horizontal="left" vertical="center" wrapText="1" indent="1"/>
    </xf>
    <xf numFmtId="0" fontId="0" fillId="0" borderId="56" xfId="0" applyBorder="1" applyAlignment="1">
      <alignment horizontal="left" vertical="center" wrapText="1" indent="1"/>
    </xf>
    <xf numFmtId="0" fontId="6" fillId="0" borderId="10" xfId="0" applyFont="1" applyBorder="1" applyAlignment="1">
      <alignment horizontal="left" vertical="center" wrapText="1"/>
    </xf>
    <xf numFmtId="0" fontId="6" fillId="0" borderId="50" xfId="0" applyFont="1" applyBorder="1" applyAlignment="1">
      <alignment horizontal="left" vertical="center" wrapText="1"/>
    </xf>
    <xf numFmtId="0" fontId="6" fillId="0" borderId="19" xfId="0" applyFont="1" applyBorder="1" applyAlignment="1">
      <alignment horizontal="left" vertical="center" wrapText="1"/>
    </xf>
    <xf numFmtId="3" fontId="5" fillId="0" borderId="28" xfId="0" applyNumberFormat="1" applyFont="1" applyBorder="1" applyAlignment="1">
      <alignment vertical="center" wrapText="1"/>
    </xf>
    <xf numFmtId="0" fontId="6" fillId="0" borderId="18" xfId="0" applyFont="1" applyBorder="1" applyAlignment="1">
      <alignment horizontal="left" vertical="center" wrapText="1"/>
    </xf>
    <xf numFmtId="0" fontId="6" fillId="0" borderId="53" xfId="0" applyFont="1" applyBorder="1" applyAlignment="1">
      <alignment horizontal="left" vertical="center" wrapText="1"/>
    </xf>
    <xf numFmtId="0" fontId="6" fillId="0" borderId="48" xfId="0" applyFont="1" applyBorder="1" applyAlignment="1">
      <alignment horizontal="left" vertical="center" wrapText="1"/>
    </xf>
    <xf numFmtId="0" fontId="6" fillId="0" borderId="54" xfId="0" applyFont="1" applyBorder="1" applyAlignment="1">
      <alignment horizontal="left" vertical="center" wrapText="1"/>
    </xf>
    <xf numFmtId="0" fontId="5" fillId="0" borderId="15" xfId="0" applyFont="1" applyBorder="1" applyAlignment="1">
      <alignment vertical="center" wrapText="1"/>
    </xf>
    <xf numFmtId="0" fontId="11" fillId="0" borderId="17" xfId="0" applyFont="1" applyBorder="1" applyAlignment="1">
      <alignment vertical="center" wrapText="1"/>
    </xf>
    <xf numFmtId="0" fontId="5" fillId="0" borderId="37" xfId="0" applyFont="1" applyBorder="1" applyAlignment="1">
      <alignment vertical="center" wrapText="1"/>
    </xf>
    <xf numFmtId="0" fontId="0" fillId="0" borderId="26" xfId="0" applyBorder="1" applyAlignment="1">
      <alignment horizontal="left" vertical="center" wrapText="1"/>
    </xf>
    <xf numFmtId="0" fontId="0" fillId="0" borderId="7" xfId="0" applyBorder="1" applyAlignment="1">
      <alignment horizontal="left" vertical="center" wrapText="1" indent="1"/>
    </xf>
    <xf numFmtId="0" fontId="0" fillId="0" borderId="32" xfId="0" applyBorder="1" applyAlignment="1">
      <alignment horizontal="left" vertical="center" wrapText="1" indent="1"/>
    </xf>
    <xf numFmtId="0" fontId="0" fillId="0" borderId="0" xfId="0" applyBorder="1" applyAlignment="1">
      <alignment horizontal="left" vertical="center" wrapText="1" indent="1"/>
    </xf>
    <xf numFmtId="0" fontId="0" fillId="0" borderId="27" xfId="0" applyBorder="1" applyAlignment="1">
      <alignment horizontal="left" vertical="center" wrapText="1" indent="1"/>
    </xf>
    <xf numFmtId="0" fontId="5" fillId="0" borderId="0" xfId="0" applyFont="1" applyBorder="1" applyAlignment="1">
      <alignment horizontal="left" vertical="center" wrapText="1" indent="1"/>
    </xf>
    <xf numFmtId="0" fontId="5" fillId="0" borderId="32" xfId="0" applyFont="1" applyBorder="1" applyAlignment="1">
      <alignment horizontal="left" vertical="center" wrapText="1" indent="1"/>
    </xf>
    <xf numFmtId="0" fontId="5" fillId="0" borderId="30" xfId="0" applyFont="1" applyBorder="1" applyAlignment="1">
      <alignment horizontal="left" vertical="center" wrapText="1" indent="1"/>
    </xf>
    <xf numFmtId="0" fontId="5" fillId="0" borderId="9" xfId="0" applyFont="1" applyBorder="1" applyAlignment="1">
      <alignment horizontal="center" vertical="center" wrapText="1"/>
    </xf>
    <xf numFmtId="0" fontId="5" fillId="0" borderId="7" xfId="0" applyFont="1" applyBorder="1" applyAlignment="1">
      <alignment horizontal="center" vertical="center" wrapText="1"/>
    </xf>
    <xf numFmtId="0" fontId="5" fillId="0" borderId="0" xfId="0" applyFont="1" applyBorder="1" applyAlignment="1">
      <alignment horizontal="center" vertical="center" wrapText="1"/>
    </xf>
    <xf numFmtId="0" fontId="6" fillId="0" borderId="18" xfId="0" applyFont="1" applyBorder="1" applyAlignment="1">
      <alignment horizontal="left" vertical="center" wrapText="1"/>
    </xf>
    <xf numFmtId="0" fontId="6" fillId="0" borderId="53" xfId="0" applyFont="1" applyBorder="1" applyAlignment="1">
      <alignment horizontal="left" vertical="center" wrapText="1"/>
    </xf>
    <xf numFmtId="0" fontId="6" fillId="0" borderId="10" xfId="0" applyFont="1" applyBorder="1" applyAlignment="1">
      <alignment horizontal="left" vertical="center" wrapText="1"/>
    </xf>
    <xf numFmtId="0" fontId="6" fillId="0" borderId="48" xfId="0" applyFont="1" applyBorder="1" applyAlignment="1">
      <alignment horizontal="left" vertical="center" wrapText="1"/>
    </xf>
    <xf numFmtId="0" fontId="6" fillId="0" borderId="19" xfId="0" applyFont="1" applyBorder="1" applyAlignment="1">
      <alignment horizontal="left" vertical="center" wrapText="1"/>
    </xf>
    <xf numFmtId="0" fontId="6" fillId="0" borderId="54" xfId="0" applyFont="1" applyBorder="1" applyAlignment="1">
      <alignment horizontal="left" vertical="center" wrapText="1"/>
    </xf>
    <xf numFmtId="0" fontId="6" fillId="0" borderId="50" xfId="0" applyFont="1" applyBorder="1" applyAlignment="1">
      <alignment horizontal="left" vertical="center" wrapText="1"/>
    </xf>
    <xf numFmtId="0" fontId="0" fillId="0" borderId="6" xfId="0" applyBorder="1" applyAlignment="1">
      <alignment horizontal="left" vertical="center" wrapText="1" indent="1"/>
    </xf>
    <xf numFmtId="0" fontId="6" fillId="0" borderId="32" xfId="0" applyFont="1" applyBorder="1" applyAlignment="1">
      <alignment horizontal="left" vertical="center" wrapText="1"/>
    </xf>
    <xf numFmtId="0" fontId="6" fillId="0" borderId="27" xfId="0" applyFont="1" applyBorder="1" applyAlignment="1">
      <alignment horizontal="left" vertical="center" wrapText="1"/>
    </xf>
    <xf numFmtId="0" fontId="6" fillId="0" borderId="28" xfId="0" applyFont="1" applyBorder="1" applyAlignment="1">
      <alignment horizontal="left" vertical="center" wrapText="1"/>
    </xf>
    <xf numFmtId="0" fontId="6" fillId="0" borderId="24" xfId="0" applyFont="1" applyBorder="1" applyAlignment="1">
      <alignment horizontal="left" vertical="center" wrapText="1"/>
    </xf>
    <xf numFmtId="0" fontId="5" fillId="0" borderId="4" xfId="0" applyFont="1" applyBorder="1" applyAlignment="1">
      <alignment horizontal="center" vertical="center" wrapText="1"/>
    </xf>
    <xf numFmtId="0" fontId="0" fillId="0" borderId="3" xfId="0" applyBorder="1" applyAlignment="1">
      <alignment horizontal="left" vertical="center" wrapText="1" indent="1"/>
    </xf>
    <xf numFmtId="0" fontId="6" fillId="0" borderId="23" xfId="0" applyFont="1" applyBorder="1" applyAlignment="1">
      <alignment horizontal="left" vertical="center" wrapText="1"/>
    </xf>
    <xf numFmtId="0" fontId="11" fillId="0" borderId="26" xfId="0" applyFont="1" applyBorder="1" applyAlignment="1">
      <alignment horizontal="left" vertical="center" wrapText="1"/>
    </xf>
    <xf numFmtId="0" fontId="11" fillId="0" borderId="32" xfId="0" applyFont="1" applyBorder="1" applyAlignment="1">
      <alignment horizontal="left" vertical="center" wrapText="1"/>
    </xf>
    <xf numFmtId="0" fontId="11" fillId="0" borderId="27" xfId="0" applyFont="1" applyBorder="1" applyAlignment="1">
      <alignment horizontal="left" vertical="center" wrapText="1"/>
    </xf>
    <xf numFmtId="0" fontId="0" fillId="0" borderId="4" xfId="0" applyBorder="1" applyAlignment="1">
      <alignment horizontal="left" vertical="center" wrapText="1" indent="1"/>
    </xf>
    <xf numFmtId="0" fontId="5" fillId="0" borderId="33" xfId="0" applyFont="1" applyBorder="1" applyAlignment="1">
      <alignment horizontal="left" vertical="center" wrapText="1" indent="1"/>
    </xf>
    <xf numFmtId="0" fontId="0" fillId="0" borderId="84" xfId="0" applyBorder="1" applyAlignment="1">
      <alignment horizontal="left" vertical="center" wrapText="1" indent="1"/>
    </xf>
    <xf numFmtId="0" fontId="0" fillId="0" borderId="23" xfId="0" applyBorder="1" applyAlignment="1">
      <alignment horizontal="left" vertical="center" wrapText="1"/>
    </xf>
    <xf numFmtId="0" fontId="0" fillId="0" borderId="28" xfId="0" applyBorder="1" applyAlignment="1">
      <alignment horizontal="left" vertical="center" wrapText="1"/>
    </xf>
    <xf numFmtId="0" fontId="5" fillId="0" borderId="23" xfId="0" applyFont="1" applyBorder="1" applyAlignment="1">
      <alignment horizontal="left" vertical="center" wrapText="1"/>
    </xf>
    <xf numFmtId="0" fontId="5" fillId="0" borderId="28" xfId="0" applyFont="1" applyBorder="1" applyAlignment="1">
      <alignment horizontal="left" vertical="center" wrapText="1"/>
    </xf>
    <xf numFmtId="3" fontId="5" fillId="0" borderId="23" xfId="0" applyNumberFormat="1" applyFont="1" applyBorder="1" applyAlignment="1">
      <alignment vertical="center" wrapText="1"/>
    </xf>
    <xf numFmtId="3" fontId="5" fillId="0" borderId="28" xfId="0" applyNumberFormat="1" applyFont="1" applyBorder="1" applyAlignment="1">
      <alignment vertical="center" wrapText="1"/>
    </xf>
    <xf numFmtId="3" fontId="6" fillId="0" borderId="23" xfId="0" applyNumberFormat="1" applyFont="1" applyBorder="1" applyAlignment="1">
      <alignment horizontal="right" vertical="center" wrapText="1" indent="1"/>
    </xf>
    <xf numFmtId="3" fontId="6" fillId="0" borderId="24" xfId="0" applyNumberFormat="1" applyFont="1" applyBorder="1" applyAlignment="1">
      <alignment horizontal="right" vertical="center" wrapText="1" indent="1"/>
    </xf>
    <xf numFmtId="0" fontId="5" fillId="0" borderId="8" xfId="0" applyFont="1" applyBorder="1" applyAlignment="1">
      <alignment horizontal="left" vertical="center" wrapText="1" indent="1"/>
    </xf>
    <xf numFmtId="0" fontId="5" fillId="0" borderId="6" xfId="0" applyFont="1" applyBorder="1" applyAlignment="1">
      <alignment horizontal="left" vertical="center" wrapText="1" indent="1"/>
    </xf>
    <xf numFmtId="0" fontId="6" fillId="0" borderId="55" xfId="0" applyFont="1" applyBorder="1" applyAlignment="1">
      <alignment horizontal="left" vertical="center" wrapText="1"/>
    </xf>
    <xf numFmtId="0" fontId="6" fillId="0" borderId="56" xfId="0" applyFont="1" applyBorder="1" applyAlignment="1">
      <alignment horizontal="left" vertical="center" wrapText="1"/>
    </xf>
    <xf numFmtId="0" fontId="6" fillId="0" borderId="47" xfId="0" applyFont="1" applyBorder="1" applyAlignment="1">
      <alignment horizontal="left" vertical="center" wrapText="1"/>
    </xf>
    <xf numFmtId="0" fontId="0" fillId="0" borderId="33" xfId="0" applyBorder="1" applyAlignment="1">
      <alignment horizontal="left" vertical="center" wrapText="1" indent="1"/>
    </xf>
    <xf numFmtId="0" fontId="0" fillId="0" borderId="26" xfId="0" applyBorder="1" applyAlignment="1">
      <alignment horizontal="left" vertical="center" wrapText="1" indent="1"/>
    </xf>
    <xf numFmtId="0" fontId="6" fillId="0" borderId="26" xfId="0" applyFont="1" applyBorder="1" applyAlignment="1">
      <alignment horizontal="left" vertical="center" wrapText="1"/>
    </xf>
    <xf numFmtId="0" fontId="5" fillId="0" borderId="27" xfId="0" applyFont="1" applyBorder="1" applyAlignment="1">
      <alignment horizontal="left" vertical="center" wrapText="1" indent="1"/>
    </xf>
    <xf numFmtId="0" fontId="5" fillId="8" borderId="30" xfId="0" applyFont="1" applyFill="1" applyBorder="1" applyAlignment="1">
      <alignment horizontal="left" vertical="center" wrapText="1" indent="1"/>
    </xf>
    <xf numFmtId="0" fontId="5" fillId="8" borderId="35" xfId="0" applyFont="1" applyFill="1" applyBorder="1" applyAlignment="1">
      <alignment horizontal="left" vertical="center" wrapText="1" indent="1"/>
    </xf>
    <xf numFmtId="0" fontId="5" fillId="8" borderId="25" xfId="0" applyFont="1" applyFill="1" applyBorder="1" applyAlignment="1">
      <alignment horizontal="left" vertical="center" wrapText="1" indent="1"/>
    </xf>
    <xf numFmtId="3" fontId="6" fillId="0" borderId="46" xfId="0" applyNumberFormat="1" applyFont="1" applyBorder="1" applyAlignment="1">
      <alignment horizontal="right" vertical="center" wrapText="1" indent="1"/>
    </xf>
    <xf numFmtId="3" fontId="6" fillId="0" borderId="38" xfId="0" applyNumberFormat="1" applyFont="1" applyBorder="1" applyAlignment="1">
      <alignment horizontal="right" vertical="center" wrapText="1" indent="1"/>
    </xf>
    <xf numFmtId="0" fontId="0" fillId="0" borderId="56" xfId="0" applyBorder="1" applyAlignment="1">
      <alignment horizontal="left" vertical="center" wrapText="1" indent="1"/>
    </xf>
    <xf numFmtId="0" fontId="0" fillId="0" borderId="24" xfId="0" applyBorder="1" applyAlignment="1">
      <alignment horizontal="left" vertical="center" wrapText="1"/>
    </xf>
    <xf numFmtId="0" fontId="0" fillId="0" borderId="30" xfId="0" applyBorder="1" applyAlignment="1">
      <alignment horizontal="left" vertical="center" wrapText="1" indent="1"/>
    </xf>
    <xf numFmtId="0" fontId="5" fillId="0" borderId="24" xfId="0" applyFont="1" applyBorder="1" applyAlignment="1">
      <alignment horizontal="left" vertical="center" wrapText="1"/>
    </xf>
    <xf numFmtId="3" fontId="6" fillId="0" borderId="28" xfId="0" applyNumberFormat="1" applyFont="1" applyBorder="1" applyAlignment="1">
      <alignment horizontal="right" vertical="center" wrapText="1" indent="1"/>
    </xf>
    <xf numFmtId="0" fontId="8" fillId="0" borderId="74"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63" xfId="0" applyFont="1" applyBorder="1" applyAlignment="1">
      <alignment horizontal="center" vertical="center" wrapText="1"/>
    </xf>
    <xf numFmtId="0" fontId="8" fillId="7" borderId="74" xfId="0" applyFont="1" applyFill="1" applyBorder="1" applyAlignment="1">
      <alignment horizontal="center" vertical="center" wrapText="1"/>
    </xf>
    <xf numFmtId="0" fontId="8" fillId="7" borderId="11" xfId="0" applyFont="1" applyFill="1" applyBorder="1" applyAlignment="1">
      <alignment horizontal="center" vertical="center" wrapText="1"/>
    </xf>
    <xf numFmtId="0" fontId="8" fillId="7" borderId="2" xfId="0" applyFont="1" applyFill="1" applyBorder="1" applyAlignment="1">
      <alignment horizontal="center" vertical="center" wrapText="1"/>
    </xf>
    <xf numFmtId="3" fontId="6" fillId="0" borderId="48" xfId="0" applyNumberFormat="1" applyFont="1" applyBorder="1" applyAlignment="1">
      <alignment vertical="center" wrapText="1"/>
    </xf>
    <xf numFmtId="0" fontId="5" fillId="0" borderId="12" xfId="0" applyFont="1" applyBorder="1" applyAlignment="1">
      <alignment horizontal="left" vertical="center" wrapText="1"/>
    </xf>
    <xf numFmtId="0" fontId="5" fillId="0" borderId="85" xfId="0" applyFont="1" applyBorder="1" applyAlignment="1">
      <alignment horizontal="left" vertical="center" wrapText="1"/>
    </xf>
    <xf numFmtId="0" fontId="0" fillId="0" borderId="57" xfId="0" applyBorder="1" applyAlignment="1">
      <alignment horizontal="left" vertical="center" wrapText="1"/>
    </xf>
    <xf numFmtId="3" fontId="5" fillId="0" borderId="86" xfId="0" applyNumberFormat="1" applyFont="1" applyBorder="1" applyAlignment="1">
      <alignment horizontal="right" vertical="center" wrapText="1" indent="1"/>
    </xf>
    <xf numFmtId="0" fontId="5" fillId="8" borderId="62" xfId="0" applyFont="1" applyFill="1" applyBorder="1" applyAlignment="1">
      <alignment horizontal="left" vertical="center" wrapText="1"/>
    </xf>
    <xf numFmtId="0" fontId="0" fillId="8" borderId="11" xfId="0" applyFill="1" applyBorder="1" applyAlignment="1">
      <alignment horizontal="left" vertical="center" wrapText="1"/>
    </xf>
    <xf numFmtId="0" fontId="6" fillId="0" borderId="11" xfId="0" applyFont="1" applyBorder="1" applyAlignment="1">
      <alignment vertical="center" wrapText="1"/>
    </xf>
    <xf numFmtId="0" fontId="5" fillId="8" borderId="5" xfId="0" applyFont="1" applyFill="1" applyBorder="1" applyAlignment="1">
      <alignment horizontal="left" vertical="center" wrapText="1" indent="1"/>
    </xf>
    <xf numFmtId="0" fontId="5" fillId="8" borderId="11" xfId="0" applyFont="1" applyFill="1" applyBorder="1" applyAlignment="1">
      <alignment horizontal="left" vertical="center" wrapText="1" indent="1"/>
    </xf>
    <xf numFmtId="0" fontId="5" fillId="8" borderId="2" xfId="0" applyFont="1" applyFill="1" applyBorder="1" applyAlignment="1">
      <alignment horizontal="left" vertical="center" wrapText="1" indent="1"/>
    </xf>
    <xf numFmtId="0" fontId="5" fillId="8" borderId="1" xfId="0" applyFont="1" applyFill="1" applyBorder="1" applyAlignment="1">
      <alignment horizontal="left" vertical="center" wrapText="1"/>
    </xf>
    <xf numFmtId="0" fontId="0" fillId="8" borderId="1" xfId="0" applyFill="1" applyBorder="1" applyAlignment="1">
      <alignment horizontal="left" vertical="center" wrapText="1"/>
    </xf>
    <xf numFmtId="3" fontId="0" fillId="0" borderId="42" xfId="0" applyNumberFormat="1" applyBorder="1" applyAlignment="1">
      <alignment horizontal="left" vertical="center" wrapText="1"/>
    </xf>
    <xf numFmtId="0" fontId="5" fillId="0" borderId="15" xfId="0" applyFont="1" applyBorder="1" applyAlignment="1">
      <alignment horizontal="left" vertical="center" wrapText="1"/>
    </xf>
    <xf numFmtId="0" fontId="0" fillId="0" borderId="3" xfId="0" applyBorder="1" applyAlignment="1">
      <alignment horizontal="left" indent="1"/>
    </xf>
    <xf numFmtId="0" fontId="5" fillId="0" borderId="37" xfId="0" applyFont="1" applyBorder="1" applyAlignment="1">
      <alignment horizontal="left" vertical="center" wrapText="1"/>
    </xf>
    <xf numFmtId="0" fontId="5" fillId="0" borderId="51" xfId="0" applyFont="1" applyBorder="1" applyAlignment="1">
      <alignment vertical="center" wrapText="1"/>
    </xf>
    <xf numFmtId="3" fontId="5" fillId="0" borderId="51" xfId="0" applyNumberFormat="1" applyFont="1" applyBorder="1" applyAlignment="1">
      <alignment vertical="center" wrapText="1"/>
    </xf>
    <xf numFmtId="0" fontId="6" fillId="0" borderId="33" xfId="0" applyFont="1" applyBorder="1" applyAlignment="1">
      <alignment horizontal="left" vertical="center" wrapText="1"/>
    </xf>
    <xf numFmtId="0" fontId="5" fillId="0" borderId="47" xfId="0" applyFont="1" applyBorder="1" applyAlignment="1">
      <alignment horizontal="left" vertical="center" wrapText="1"/>
    </xf>
    <xf numFmtId="3" fontId="5" fillId="0" borderId="24" xfId="0" applyNumberFormat="1" applyFont="1" applyBorder="1" applyAlignment="1">
      <alignment vertical="center" wrapText="1"/>
    </xf>
    <xf numFmtId="0" fontId="5" fillId="0" borderId="56" xfId="0" applyFont="1" applyBorder="1" applyAlignment="1">
      <alignment horizontal="left" vertical="center" wrapText="1"/>
    </xf>
    <xf numFmtId="3" fontId="5" fillId="0" borderId="73" xfId="0" applyNumberFormat="1" applyFont="1" applyBorder="1" applyAlignment="1">
      <alignment horizontal="left" vertical="center" wrapText="1"/>
    </xf>
    <xf numFmtId="0" fontId="0" fillId="8" borderId="0" xfId="0" applyFill="1" applyAlignment="1">
      <alignment horizontal="left" indent="1"/>
    </xf>
    <xf numFmtId="3" fontId="5" fillId="0" borderId="63" xfId="0" applyNumberFormat="1" applyFont="1" applyBorder="1" applyAlignment="1">
      <alignment vertical="center" wrapText="1"/>
    </xf>
    <xf numFmtId="0" fontId="5" fillId="0" borderId="11" xfId="0" applyFont="1" applyBorder="1" applyAlignment="1">
      <alignment vertical="center" wrapText="1"/>
    </xf>
    <xf numFmtId="0" fontId="6" fillId="0" borderId="37" xfId="0" applyFont="1" applyBorder="1" applyAlignment="1">
      <alignment vertical="center" wrapText="1"/>
    </xf>
    <xf numFmtId="3" fontId="6" fillId="0" borderId="23" xfId="0" applyNumberFormat="1" applyFont="1" applyBorder="1" applyAlignment="1">
      <alignment horizontal="left" vertical="center" wrapText="1"/>
    </xf>
    <xf numFmtId="3" fontId="6" fillId="0" borderId="24" xfId="0" applyNumberFormat="1" applyFont="1" applyBorder="1" applyAlignment="1">
      <alignment horizontal="left" vertical="center" wrapText="1"/>
    </xf>
    <xf numFmtId="0" fontId="17" fillId="0" borderId="0" xfId="0" applyFont="1" applyBorder="1" applyAlignment="1">
      <alignment horizontal="left" vertical="center" wrapText="1" indent="1"/>
    </xf>
    <xf numFmtId="3" fontId="6" fillId="0" borderId="28" xfId="0" applyNumberFormat="1" applyFont="1" applyBorder="1" applyAlignment="1">
      <alignment horizontal="left" vertical="center" wrapText="1"/>
    </xf>
    <xf numFmtId="0" fontId="0" fillId="0" borderId="0" xfId="0" applyBorder="1" applyAlignment="1">
      <alignment horizontal="left" indent="1"/>
    </xf>
    <xf numFmtId="0" fontId="5" fillId="0" borderId="55" xfId="0" applyFont="1" applyBorder="1" applyAlignment="1">
      <alignment vertical="center" wrapText="1"/>
    </xf>
    <xf numFmtId="0" fontId="0" fillId="0" borderId="47" xfId="0" applyBorder="1" applyAlignment="1">
      <alignment horizontal="left" indent="1"/>
    </xf>
    <xf numFmtId="3" fontId="6" fillId="0" borderId="10" xfId="0" applyNumberFormat="1" applyFont="1" applyBorder="1" applyAlignment="1">
      <alignment horizontal="left" vertical="center" wrapText="1"/>
    </xf>
    <xf numFmtId="0" fontId="5" fillId="0" borderId="20" xfId="0" applyFont="1" applyBorder="1" applyAlignment="1">
      <alignment horizontal="left" vertical="center" wrapText="1" indent="1"/>
    </xf>
    <xf numFmtId="0" fontId="17" fillId="0" borderId="56" xfId="0" applyFont="1" applyBorder="1" applyAlignment="1">
      <alignment horizontal="left" vertical="center" wrapText="1" indent="1"/>
    </xf>
    <xf numFmtId="0" fontId="0" fillId="0" borderId="56" xfId="0" applyBorder="1" applyAlignment="1">
      <alignment horizontal="left" vertical="top" wrapText="1" indent="1"/>
    </xf>
    <xf numFmtId="0" fontId="6" fillId="0" borderId="31" xfId="0" applyFont="1" applyBorder="1" applyAlignment="1">
      <alignment horizontal="left" vertical="center" wrapText="1"/>
    </xf>
    <xf numFmtId="3" fontId="6" fillId="0" borderId="31" xfId="0" applyNumberFormat="1" applyFont="1" applyBorder="1" applyAlignment="1">
      <alignment horizontal="left" vertical="center" wrapText="1" indent="1"/>
    </xf>
    <xf numFmtId="3" fontId="6" fillId="0" borderId="16" xfId="0" applyNumberFormat="1" applyFont="1" applyBorder="1" applyAlignment="1">
      <alignment horizontal="left" vertical="center" wrapText="1"/>
    </xf>
    <xf numFmtId="0" fontId="6" fillId="0" borderId="52" xfId="0" applyFont="1" applyBorder="1" applyAlignment="1">
      <alignment vertical="center" wrapText="1"/>
    </xf>
    <xf numFmtId="0" fontId="6" fillId="0" borderId="71" xfId="0" applyFont="1" applyBorder="1" applyAlignment="1">
      <alignment vertical="center" wrapText="1"/>
    </xf>
    <xf numFmtId="0" fontId="6" fillId="0" borderId="58" xfId="0" applyFont="1" applyBorder="1" applyAlignment="1">
      <alignment vertical="center" wrapText="1"/>
    </xf>
    <xf numFmtId="0" fontId="6" fillId="0" borderId="59" xfId="0" applyFont="1" applyBorder="1" applyAlignment="1">
      <alignment vertical="center" wrapText="1"/>
    </xf>
    <xf numFmtId="3" fontId="6" fillId="0" borderId="8" xfId="0" applyNumberFormat="1" applyFont="1" applyBorder="1" applyAlignment="1">
      <alignment vertical="center" wrapText="1"/>
    </xf>
    <xf numFmtId="3" fontId="6" fillId="0" borderId="66" xfId="0" applyNumberFormat="1" applyFont="1" applyBorder="1" applyAlignment="1">
      <alignment vertical="center" wrapText="1"/>
    </xf>
    <xf numFmtId="3" fontId="6" fillId="0" borderId="67" xfId="0" applyNumberFormat="1" applyFont="1" applyBorder="1" applyAlignment="1">
      <alignment vertical="center" wrapText="1"/>
    </xf>
    <xf numFmtId="0" fontId="0" fillId="0" borderId="55" xfId="0" applyBorder="1" applyAlignment="1">
      <alignment horizontal="left" vertical="center" wrapText="1"/>
    </xf>
    <xf numFmtId="3" fontId="5" fillId="0" borderId="8" xfId="0" applyNumberFormat="1" applyFont="1" applyBorder="1" applyAlignment="1">
      <alignment horizontal="right" vertical="center" wrapText="1" indent="1"/>
    </xf>
    <xf numFmtId="0" fontId="0" fillId="0" borderId="13" xfId="0" applyBorder="1" applyAlignment="1">
      <alignment horizontal="left" vertical="center" wrapText="1"/>
    </xf>
    <xf numFmtId="0" fontId="5" fillId="8" borderId="27" xfId="0" applyFont="1" applyFill="1" applyBorder="1" applyAlignment="1">
      <alignment vertical="center" wrapText="1"/>
    </xf>
    <xf numFmtId="0" fontId="0" fillId="8" borderId="30" xfId="0" applyFill="1" applyBorder="1" applyAlignment="1">
      <alignment horizontal="left" vertical="center" wrapText="1"/>
    </xf>
    <xf numFmtId="3" fontId="5" fillId="0" borderId="8" xfId="0" applyNumberFormat="1" applyFont="1" applyBorder="1" applyAlignment="1">
      <alignment vertical="center" wrapText="1"/>
    </xf>
    <xf numFmtId="3" fontId="6" fillId="0" borderId="21" xfId="0" applyNumberFormat="1" applyFont="1" applyBorder="1" applyAlignment="1">
      <alignment horizontal="left" vertical="center" wrapText="1" indent="1"/>
    </xf>
    <xf numFmtId="0" fontId="6" fillId="0" borderId="91" xfId="0" applyFont="1" applyBorder="1" applyAlignment="1">
      <alignment horizontal="left" vertical="center" wrapText="1"/>
    </xf>
    <xf numFmtId="0" fontId="6" fillId="0" borderId="90" xfId="0" applyFont="1" applyBorder="1" applyAlignment="1">
      <alignment horizontal="left" vertical="center" wrapText="1"/>
    </xf>
    <xf numFmtId="0" fontId="6" fillId="0" borderId="86" xfId="0" applyFont="1" applyBorder="1" applyAlignment="1">
      <alignment horizontal="left" vertical="center" wrapText="1"/>
    </xf>
    <xf numFmtId="3" fontId="6" fillId="0" borderId="86" xfId="0" applyNumberFormat="1" applyFont="1" applyBorder="1" applyAlignment="1">
      <alignment horizontal="right" vertical="center" wrapText="1" indent="1"/>
    </xf>
    <xf numFmtId="0" fontId="5" fillId="0" borderId="82" xfId="0" applyFont="1" applyBorder="1" applyAlignment="1">
      <alignment horizontal="left" vertical="center" wrapText="1"/>
    </xf>
    <xf numFmtId="0" fontId="6" fillId="0" borderId="78" xfId="0" applyFont="1" applyBorder="1" applyAlignment="1">
      <alignment horizontal="left" vertical="center" wrapText="1"/>
    </xf>
    <xf numFmtId="3" fontId="6" fillId="0" borderId="78" xfId="0" applyNumberFormat="1" applyFont="1" applyBorder="1" applyAlignment="1">
      <alignment horizontal="right" vertical="center" wrapText="1" indent="1"/>
    </xf>
    <xf numFmtId="0" fontId="6" fillId="0" borderId="81" xfId="0" applyFont="1" applyBorder="1" applyAlignment="1">
      <alignment horizontal="left" vertical="center" wrapText="1"/>
    </xf>
    <xf numFmtId="3" fontId="6" fillId="0" borderId="90" xfId="0" applyNumberFormat="1" applyFont="1" applyBorder="1" applyAlignment="1">
      <alignment horizontal="right" vertical="center" wrapText="1" indent="1"/>
    </xf>
    <xf numFmtId="0" fontId="1" fillId="0" borderId="0" xfId="0" applyFont="1" applyAlignment="1">
      <alignment vertical="center"/>
    </xf>
    <xf numFmtId="0" fontId="1" fillId="0" borderId="10" xfId="0" applyFont="1" applyBorder="1" applyAlignment="1">
      <alignment horizontal="center" vertical="center"/>
    </xf>
    <xf numFmtId="0" fontId="1" fillId="0" borderId="48" xfId="0" applyFont="1" applyBorder="1" applyAlignment="1">
      <alignment horizontal="center" vertical="center"/>
    </xf>
    <xf numFmtId="0" fontId="1" fillId="0" borderId="78" xfId="0" applyFont="1" applyBorder="1" applyAlignment="1">
      <alignment horizontal="center" vertical="center"/>
    </xf>
    <xf numFmtId="0" fontId="1" fillId="0" borderId="31" xfId="0" applyFont="1" applyBorder="1" applyAlignment="1">
      <alignment horizontal="center" vertical="center"/>
    </xf>
    <xf numFmtId="0" fontId="1" fillId="6" borderId="10" xfId="0" applyFont="1" applyFill="1" applyBorder="1" applyAlignment="1">
      <alignment vertical="center"/>
    </xf>
    <xf numFmtId="3" fontId="5" fillId="0" borderId="57" xfId="0" applyNumberFormat="1" applyFont="1" applyBorder="1" applyAlignment="1">
      <alignment horizontal="right" vertical="center" wrapText="1" indent="1"/>
    </xf>
    <xf numFmtId="3" fontId="6" fillId="0" borderId="26" xfId="0" applyNumberFormat="1" applyFont="1" applyBorder="1" applyAlignment="1">
      <alignment horizontal="left" vertical="center" wrapText="1" indent="1"/>
    </xf>
    <xf numFmtId="0" fontId="5" fillId="0" borderId="61" xfId="0" applyFont="1" applyBorder="1" applyAlignment="1">
      <alignment horizontal="left" vertical="center" wrapText="1"/>
    </xf>
    <xf numFmtId="0" fontId="5" fillId="0" borderId="50" xfId="0" applyFont="1" applyBorder="1" applyAlignment="1">
      <alignment horizontal="left" vertical="center" wrapText="1"/>
    </xf>
    <xf numFmtId="0" fontId="5" fillId="0" borderId="66" xfId="0" applyFont="1" applyBorder="1" applyAlignment="1">
      <alignment horizontal="left" vertical="center" wrapText="1"/>
    </xf>
    <xf numFmtId="0" fontId="6" fillId="0" borderId="67" xfId="0" applyFont="1" applyBorder="1" applyAlignment="1">
      <alignment horizontal="left" vertical="center" wrapText="1"/>
    </xf>
    <xf numFmtId="0" fontId="5" fillId="0" borderId="67" xfId="0" applyFont="1" applyBorder="1" applyAlignment="1">
      <alignment horizontal="left" vertical="center" wrapText="1"/>
    </xf>
    <xf numFmtId="0" fontId="0" fillId="0" borderId="67" xfId="0" applyBorder="1" applyAlignment="1">
      <alignment horizontal="left" vertical="center" wrapText="1"/>
    </xf>
    <xf numFmtId="0" fontId="5" fillId="0" borderId="68" xfId="0" applyFont="1" applyBorder="1" applyAlignment="1">
      <alignment horizontal="left" vertical="center" wrapText="1"/>
    </xf>
    <xf numFmtId="0" fontId="5" fillId="0" borderId="31" xfId="0" applyFont="1" applyBorder="1" applyAlignment="1">
      <alignment horizontal="left" vertical="center" wrapText="1"/>
    </xf>
    <xf numFmtId="0" fontId="11" fillId="0" borderId="31" xfId="0" applyFont="1" applyBorder="1" applyAlignment="1">
      <alignment vertical="center" wrapText="1"/>
    </xf>
    <xf numFmtId="3" fontId="6" fillId="0" borderId="31" xfId="0" applyNumberFormat="1" applyFont="1" applyBorder="1" applyAlignment="1">
      <alignment vertical="center" wrapText="1"/>
    </xf>
    <xf numFmtId="0" fontId="0" fillId="0" borderId="86" xfId="0" applyBorder="1" applyAlignment="1">
      <alignment horizontal="left" vertical="center" wrapText="1"/>
    </xf>
    <xf numFmtId="0" fontId="0" fillId="0" borderId="87" xfId="0" applyBorder="1" applyAlignment="1">
      <alignment horizontal="left" vertical="center" wrapText="1"/>
    </xf>
    <xf numFmtId="3" fontId="5" fillId="0" borderId="51" xfId="0" applyNumberFormat="1" applyFont="1" applyBorder="1" applyAlignment="1">
      <alignment horizontal="left" vertical="center" wrapText="1"/>
    </xf>
    <xf numFmtId="3" fontId="5" fillId="0" borderId="64" xfId="0" applyNumberFormat="1" applyFont="1" applyBorder="1" applyAlignment="1">
      <alignment vertical="center" wrapText="1"/>
    </xf>
    <xf numFmtId="3" fontId="5" fillId="8" borderId="43" xfId="0" applyNumberFormat="1" applyFont="1" applyFill="1" applyBorder="1" applyAlignment="1">
      <alignment horizontal="right" vertical="center" wrapText="1" indent="1"/>
    </xf>
    <xf numFmtId="0" fontId="0" fillId="8" borderId="4" xfId="0" applyFill="1" applyBorder="1" applyAlignment="1">
      <alignment horizontal="left" vertical="center" wrapText="1"/>
    </xf>
    <xf numFmtId="3" fontId="0" fillId="8" borderId="10" xfId="0" applyNumberFormat="1" applyFont="1" applyFill="1" applyBorder="1" applyAlignment="1">
      <alignment vertical="center"/>
    </xf>
    <xf numFmtId="3" fontId="5" fillId="0" borderId="41" xfId="0" applyNumberFormat="1" applyFont="1" applyBorder="1" applyAlignment="1">
      <alignment horizontal="right" vertical="center" wrapText="1" indent="1"/>
    </xf>
    <xf numFmtId="0" fontId="5" fillId="0" borderId="43" xfId="0" applyFont="1" applyBorder="1" applyAlignment="1">
      <alignment horizontal="left" vertical="center" wrapText="1"/>
    </xf>
    <xf numFmtId="3" fontId="5" fillId="0" borderId="44" xfId="0" applyNumberFormat="1" applyFont="1" applyBorder="1" applyAlignment="1">
      <alignment vertical="center" wrapText="1"/>
    </xf>
    <xf numFmtId="0" fontId="5" fillId="0" borderId="55" xfId="0" applyFont="1" applyFill="1" applyBorder="1" applyAlignment="1">
      <alignment horizontal="left" vertical="center" wrapText="1" indent="1"/>
    </xf>
    <xf numFmtId="0" fontId="0" fillId="0" borderId="56" xfId="0" applyFill="1" applyBorder="1" applyAlignment="1">
      <alignment vertical="center" wrapText="1"/>
    </xf>
    <xf numFmtId="0" fontId="0" fillId="0" borderId="8" xfId="0" applyFill="1" applyBorder="1" applyAlignment="1">
      <alignment horizontal="left" vertical="center" wrapText="1"/>
    </xf>
    <xf numFmtId="3" fontId="6" fillId="0" borderId="16" xfId="0" applyNumberFormat="1" applyFont="1" applyFill="1" applyBorder="1" applyAlignment="1">
      <alignment horizontal="left" vertical="center" wrapText="1" indent="1"/>
    </xf>
    <xf numFmtId="0" fontId="0" fillId="0" borderId="47" xfId="0" applyFill="1" applyBorder="1" applyAlignment="1">
      <alignment vertical="center" wrapText="1"/>
    </xf>
    <xf numFmtId="3" fontId="6" fillId="0" borderId="21" xfId="0" applyNumberFormat="1" applyFont="1" applyFill="1" applyBorder="1" applyAlignment="1">
      <alignment horizontal="left" vertical="center" wrapText="1" indent="1"/>
    </xf>
    <xf numFmtId="0" fontId="5" fillId="0" borderId="55" xfId="0" applyFont="1" applyFill="1" applyBorder="1" applyAlignment="1">
      <alignment vertical="center" wrapText="1"/>
    </xf>
    <xf numFmtId="0" fontId="0" fillId="0" borderId="56" xfId="0" applyFill="1" applyBorder="1" applyAlignment="1">
      <alignment horizontal="left" indent="1"/>
    </xf>
    <xf numFmtId="0" fontId="0" fillId="0" borderId="47" xfId="0" applyFill="1" applyBorder="1" applyAlignment="1">
      <alignment horizontal="left" indent="1"/>
    </xf>
    <xf numFmtId="0" fontId="6" fillId="0" borderId="61" xfId="0" applyFont="1" applyFill="1" applyBorder="1" applyAlignment="1">
      <alignment horizontal="left" vertical="center" wrapText="1"/>
    </xf>
    <xf numFmtId="0" fontId="6" fillId="0" borderId="65" xfId="0" applyFont="1" applyFill="1" applyBorder="1" applyAlignment="1">
      <alignment horizontal="left" vertical="center" wrapText="1"/>
    </xf>
    <xf numFmtId="0" fontId="6" fillId="0" borderId="84" xfId="0" applyFont="1" applyFill="1" applyBorder="1" applyAlignment="1">
      <alignment vertical="center" wrapText="1"/>
    </xf>
    <xf numFmtId="0" fontId="6" fillId="0" borderId="50" xfId="0" applyFont="1" applyFill="1" applyBorder="1" applyAlignment="1">
      <alignment horizontal="left" vertical="center" wrapText="1"/>
    </xf>
    <xf numFmtId="0" fontId="6" fillId="0" borderId="50" xfId="0" applyFont="1" applyFill="1" applyBorder="1" applyAlignment="1">
      <alignment vertical="center" wrapText="1"/>
    </xf>
    <xf numFmtId="0" fontId="5" fillId="0" borderId="44" xfId="0" applyFont="1" applyFill="1" applyBorder="1" applyAlignment="1">
      <alignment vertical="center" wrapText="1"/>
    </xf>
    <xf numFmtId="0" fontId="6" fillId="0" borderId="66" xfId="0" applyFont="1" applyFill="1" applyBorder="1" applyAlignment="1">
      <alignment vertical="center" wrapText="1"/>
    </xf>
    <xf numFmtId="0" fontId="6" fillId="0" borderId="68" xfId="0" applyFont="1" applyFill="1" applyBorder="1" applyAlignment="1">
      <alignment vertical="center" wrapText="1"/>
    </xf>
    <xf numFmtId="0" fontId="6" fillId="0" borderId="69" xfId="0" applyFont="1" applyFill="1" applyBorder="1" applyAlignment="1">
      <alignment vertical="center" wrapText="1"/>
    </xf>
    <xf numFmtId="0" fontId="6" fillId="0" borderId="67" xfId="0" applyFont="1" applyFill="1" applyBorder="1" applyAlignment="1">
      <alignment horizontal="left" vertical="center" wrapText="1"/>
    </xf>
    <xf numFmtId="0" fontId="6" fillId="0" borderId="67" xfId="0" applyFont="1" applyFill="1" applyBorder="1" applyAlignment="1">
      <alignment vertical="center" wrapText="1"/>
    </xf>
    <xf numFmtId="0" fontId="6" fillId="0" borderId="68" xfId="0" applyFont="1" applyFill="1" applyBorder="1" applyAlignment="1">
      <alignment horizontal="left" vertical="center" wrapText="1"/>
    </xf>
    <xf numFmtId="0" fontId="5" fillId="0" borderId="6" xfId="0" applyFont="1" applyFill="1" applyBorder="1" applyAlignment="1">
      <alignment horizontal="left" vertical="center" wrapText="1"/>
    </xf>
    <xf numFmtId="0" fontId="5" fillId="0" borderId="8" xfId="0" applyFont="1" applyFill="1" applyBorder="1" applyAlignment="1">
      <alignment horizontal="left" vertical="center" wrapText="1"/>
    </xf>
    <xf numFmtId="0" fontId="0" fillId="0" borderId="6" xfId="0" applyFill="1" applyBorder="1" applyAlignment="1">
      <alignment horizontal="left" vertical="center" wrapText="1"/>
    </xf>
    <xf numFmtId="0" fontId="0" fillId="0" borderId="3" xfId="0" applyFill="1" applyBorder="1" applyAlignment="1">
      <alignment horizontal="left" vertical="center" wrapText="1"/>
    </xf>
    <xf numFmtId="0" fontId="5" fillId="0" borderId="38" xfId="0" applyFont="1" applyFill="1" applyBorder="1" applyAlignment="1">
      <alignment horizontal="left" vertical="center" wrapText="1"/>
    </xf>
    <xf numFmtId="0" fontId="6" fillId="0" borderId="6" xfId="0" applyFont="1" applyFill="1" applyBorder="1" applyAlignment="1">
      <alignment horizontal="left" vertical="center" wrapText="1"/>
    </xf>
    <xf numFmtId="0" fontId="0" fillId="0" borderId="6" xfId="0" applyFill="1" applyBorder="1" applyAlignment="1">
      <alignment horizontal="left" vertical="center" wrapText="1"/>
    </xf>
    <xf numFmtId="0" fontId="0" fillId="0" borderId="38" xfId="0" applyFill="1" applyBorder="1" applyAlignment="1">
      <alignment horizontal="left" vertical="center" wrapText="1"/>
    </xf>
    <xf numFmtId="0" fontId="6" fillId="0" borderId="3" xfId="0" applyFont="1" applyFill="1" applyBorder="1" applyAlignment="1">
      <alignment horizontal="left" vertical="center" wrapText="1"/>
    </xf>
    <xf numFmtId="0" fontId="0" fillId="0" borderId="3" xfId="0" applyFill="1" applyBorder="1" applyAlignment="1">
      <alignment horizontal="left" vertical="center" wrapText="1"/>
    </xf>
    <xf numFmtId="0" fontId="5" fillId="0" borderId="3" xfId="0" applyFont="1" applyFill="1" applyBorder="1" applyAlignment="1">
      <alignment horizontal="left" vertical="center" wrapText="1"/>
    </xf>
    <xf numFmtId="0" fontId="5" fillId="8" borderId="47" xfId="0" applyFont="1" applyFill="1" applyBorder="1" applyAlignment="1">
      <alignment vertical="center" wrapText="1"/>
    </xf>
    <xf numFmtId="0" fontId="5" fillId="8" borderId="11" xfId="0" applyFont="1" applyFill="1" applyBorder="1" applyAlignment="1">
      <alignment horizontal="left" vertical="center" wrapText="1" indent="1"/>
    </xf>
    <xf numFmtId="0" fontId="5" fillId="8" borderId="63" xfId="0" applyFont="1" applyFill="1" applyBorder="1" applyAlignment="1">
      <alignment horizontal="left" vertical="center" wrapText="1" indent="1"/>
    </xf>
    <xf numFmtId="0" fontId="5" fillId="0" borderId="41" xfId="0" applyFont="1" applyFill="1" applyBorder="1" applyAlignment="1">
      <alignment horizontal="left" vertical="center" wrapText="1"/>
    </xf>
    <xf numFmtId="3" fontId="5" fillId="0" borderId="32" xfId="0" applyNumberFormat="1" applyFont="1" applyFill="1" applyBorder="1" applyAlignment="1">
      <alignment horizontal="right" vertical="center" wrapText="1" indent="1"/>
    </xf>
    <xf numFmtId="0" fontId="5" fillId="8" borderId="63" xfId="0" applyFont="1" applyFill="1" applyBorder="1" applyAlignment="1">
      <alignment vertical="center" wrapText="1"/>
    </xf>
    <xf numFmtId="0" fontId="6" fillId="8" borderId="5" xfId="0" applyFont="1" applyFill="1" applyBorder="1" applyAlignment="1">
      <alignment horizontal="left" vertical="center" wrapText="1"/>
    </xf>
    <xf numFmtId="0" fontId="0" fillId="8" borderId="11" xfId="0" applyFill="1" applyBorder="1" applyAlignment="1">
      <alignment horizontal="left" indent="1"/>
    </xf>
  </cellXfs>
  <cellStyles count="4">
    <cellStyle name="Milliers" xfId="1" builtinId="3"/>
    <cellStyle name="Milliers [0]" xfId="2" builtinId="6"/>
    <cellStyle name="Normal" xfId="0" builtinId="0"/>
    <cellStyle name="Pourcentag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5</xdr:col>
      <xdr:colOff>1885950</xdr:colOff>
      <xdr:row>694</xdr:row>
      <xdr:rowOff>304800</xdr:rowOff>
    </xdr:from>
    <xdr:to>
      <xdr:col>6</xdr:col>
      <xdr:colOff>1790700</xdr:colOff>
      <xdr:row>694</xdr:row>
      <xdr:rowOff>304800</xdr:rowOff>
    </xdr:to>
    <xdr:grpSp>
      <xdr:nvGrpSpPr>
        <xdr:cNvPr id="77911" name="Group 87"/>
        <xdr:cNvGrpSpPr>
          <a:grpSpLocks/>
        </xdr:cNvGrpSpPr>
      </xdr:nvGrpSpPr>
      <xdr:grpSpPr bwMode="auto">
        <a:xfrm>
          <a:off x="13435013" y="240801525"/>
          <a:ext cx="3786187" cy="0"/>
          <a:chOff x="7642" y="9003"/>
          <a:chExt cx="3333" cy="2"/>
        </a:xfrm>
      </xdr:grpSpPr>
      <xdr:sp macro="" textlink="">
        <xdr:nvSpPr>
          <xdr:cNvPr id="77912" name="Freeform 88"/>
          <xdr:cNvSpPr>
            <a:spLocks/>
          </xdr:cNvSpPr>
        </xdr:nvSpPr>
        <xdr:spPr bwMode="auto">
          <a:xfrm>
            <a:off x="7642" y="9003"/>
            <a:ext cx="3333" cy="2"/>
          </a:xfrm>
          <a:custGeom>
            <a:avLst/>
            <a:gdLst>
              <a:gd name="T0" fmla="+- 0 7642 7642"/>
              <a:gd name="T1" fmla="*/ T0 w 3333"/>
              <a:gd name="T2" fmla="+- 0 10975 7642"/>
              <a:gd name="T3" fmla="*/ T2 w 3333"/>
            </a:gdLst>
            <a:ahLst/>
            <a:cxnLst>
              <a:cxn ang="0">
                <a:pos x="T1" y="0"/>
              </a:cxn>
              <a:cxn ang="0">
                <a:pos x="T3" y="0"/>
              </a:cxn>
            </a:cxnLst>
            <a:rect l="0" t="0" r="r" b="b"/>
            <a:pathLst>
              <a:path w="3333">
                <a:moveTo>
                  <a:pt x="0" y="0"/>
                </a:moveTo>
                <a:lnTo>
                  <a:pt x="3333" y="0"/>
                </a:lnTo>
              </a:path>
            </a:pathLst>
          </a:custGeom>
          <a:noFill/>
          <a:ln w="10795">
            <a:solidFill>
              <a:srgbClr val="000000"/>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1046"/>
  <sheetViews>
    <sheetView tabSelected="1" view="pageBreakPreview" topLeftCell="B985" zoomScale="80" zoomScaleNormal="100" zoomScaleSheetLayoutView="80" workbookViewId="0">
      <selection activeCell="C1004" sqref="C1004"/>
    </sheetView>
  </sheetViews>
  <sheetFormatPr baseColWidth="10" defaultRowHeight="15" x14ac:dyDescent="0.25"/>
  <cols>
    <col min="1" max="1" width="11.42578125" style="159"/>
    <col min="2" max="2" width="26.85546875" style="404" bestFit="1" customWidth="1"/>
    <col min="3" max="3" width="33.7109375" style="405" customWidth="1"/>
    <col min="4" max="4" width="43.28515625" style="159" customWidth="1"/>
    <col min="5" max="5" width="58" style="25" customWidth="1"/>
    <col min="6" max="6" width="58.140625" style="25" customWidth="1"/>
    <col min="7" max="7" width="35.7109375" style="325" customWidth="1"/>
    <col min="8" max="8" width="56.28515625" style="25" customWidth="1"/>
    <col min="9" max="16384" width="11.42578125" style="159"/>
  </cols>
  <sheetData>
    <row r="2" spans="2:8" x14ac:dyDescent="0.25">
      <c r="D2" s="158" t="s">
        <v>360</v>
      </c>
    </row>
    <row r="3" spans="2:8" x14ac:dyDescent="0.25">
      <c r="D3" s="158" t="s">
        <v>361</v>
      </c>
    </row>
    <row r="4" spans="2:8" ht="15.75" thickBot="1" x14ac:dyDescent="0.3"/>
    <row r="5" spans="2:8" ht="15.75" thickBot="1" x14ac:dyDescent="0.3">
      <c r="B5" s="443" t="s">
        <v>1197</v>
      </c>
      <c r="C5" s="443" t="s">
        <v>1180</v>
      </c>
      <c r="D5" s="406"/>
      <c r="E5" s="161" t="s">
        <v>22</v>
      </c>
      <c r="F5" s="231" t="s">
        <v>27</v>
      </c>
      <c r="G5" s="326" t="s">
        <v>362</v>
      </c>
      <c r="H5" s="265" t="s">
        <v>1175</v>
      </c>
    </row>
    <row r="6" spans="2:8" ht="45.75" thickBot="1" x14ac:dyDescent="0.3">
      <c r="B6" s="446" t="s">
        <v>1198</v>
      </c>
      <c r="C6" s="446" t="s">
        <v>1179</v>
      </c>
      <c r="D6" s="414" t="s">
        <v>23</v>
      </c>
      <c r="E6" s="507" t="s">
        <v>363</v>
      </c>
      <c r="F6" s="13"/>
      <c r="G6" s="472"/>
      <c r="H6" s="522"/>
    </row>
    <row r="7" spans="2:8" ht="56.25" customHeight="1" thickBot="1" x14ac:dyDescent="0.3">
      <c r="B7" s="448"/>
      <c r="C7" s="440"/>
      <c r="D7" s="899" t="s">
        <v>24</v>
      </c>
      <c r="E7" s="687" t="s">
        <v>1176</v>
      </c>
      <c r="F7" s="320" t="s">
        <v>1554</v>
      </c>
      <c r="G7" s="557" t="s">
        <v>1555</v>
      </c>
      <c r="H7" s="294" t="s">
        <v>1556</v>
      </c>
    </row>
    <row r="8" spans="2:8" ht="129" thickBot="1" x14ac:dyDescent="0.3">
      <c r="B8" s="448"/>
      <c r="C8" s="440"/>
      <c r="D8" s="900"/>
      <c r="E8" s="293" t="s">
        <v>1177</v>
      </c>
      <c r="F8" s="249" t="s">
        <v>1557</v>
      </c>
      <c r="G8" s="557" t="s">
        <v>1558</v>
      </c>
      <c r="H8" s="294" t="s">
        <v>1559</v>
      </c>
    </row>
    <row r="9" spans="2:8" ht="72" thickBot="1" x14ac:dyDescent="0.3">
      <c r="B9" s="448"/>
      <c r="C9" s="440"/>
      <c r="D9" s="901"/>
      <c r="E9" s="320" t="s">
        <v>1178</v>
      </c>
      <c r="F9" s="676" t="s">
        <v>1560</v>
      </c>
      <c r="G9" s="675" t="s">
        <v>1561</v>
      </c>
      <c r="H9" s="283" t="s">
        <v>1562</v>
      </c>
    </row>
    <row r="10" spans="2:8" ht="28.5" x14ac:dyDescent="0.25">
      <c r="B10" s="448"/>
      <c r="C10" s="440"/>
      <c r="D10" s="899" t="s">
        <v>25</v>
      </c>
      <c r="E10" s="664" t="s">
        <v>1221</v>
      </c>
      <c r="F10" s="166" t="s">
        <v>365</v>
      </c>
      <c r="G10" s="541" t="s">
        <v>366</v>
      </c>
      <c r="H10" s="270" t="s">
        <v>1191</v>
      </c>
    </row>
    <row r="11" spans="2:8" ht="28.5" x14ac:dyDescent="0.25">
      <c r="B11" s="448"/>
      <c r="C11" s="440"/>
      <c r="D11" s="900"/>
      <c r="E11" s="902" t="s">
        <v>1220</v>
      </c>
      <c r="F11" s="904" t="s">
        <v>369</v>
      </c>
      <c r="G11" s="539" t="s">
        <v>1542</v>
      </c>
      <c r="H11" s="906" t="s">
        <v>370</v>
      </c>
    </row>
    <row r="12" spans="2:8" ht="15.75" thickBot="1" x14ac:dyDescent="0.3">
      <c r="B12" s="448"/>
      <c r="C12" s="440"/>
      <c r="D12" s="900"/>
      <c r="E12" s="903"/>
      <c r="F12" s="905"/>
      <c r="G12" s="547"/>
      <c r="H12" s="907"/>
    </row>
    <row r="13" spans="2:8" ht="29.25" thickBot="1" x14ac:dyDescent="0.3">
      <c r="B13" s="448"/>
      <c r="C13" s="440"/>
      <c r="D13" s="900"/>
      <c r="E13" s="290" t="s">
        <v>1219</v>
      </c>
      <c r="F13" s="246" t="s">
        <v>1181</v>
      </c>
      <c r="G13" s="675" t="s">
        <v>368</v>
      </c>
      <c r="H13" s="283" t="s">
        <v>477</v>
      </c>
    </row>
    <row r="14" spans="2:8" ht="37.5" customHeight="1" thickBot="1" x14ac:dyDescent="0.3">
      <c r="B14" s="448"/>
      <c r="C14" s="440"/>
      <c r="D14" s="901"/>
      <c r="E14" s="320" t="s">
        <v>1218</v>
      </c>
      <c r="F14" s="676" t="s">
        <v>1543</v>
      </c>
      <c r="G14" s="675" t="s">
        <v>371</v>
      </c>
      <c r="H14" s="283" t="s">
        <v>1190</v>
      </c>
    </row>
    <row r="15" spans="2:8" ht="43.5" thickBot="1" x14ac:dyDescent="0.3">
      <c r="B15" s="448"/>
      <c r="C15" s="440"/>
      <c r="D15" s="900"/>
      <c r="E15" s="677" t="s">
        <v>1217</v>
      </c>
      <c r="F15" s="678" t="s">
        <v>374</v>
      </c>
      <c r="G15" s="679" t="s">
        <v>375</v>
      </c>
      <c r="H15" s="680" t="s">
        <v>376</v>
      </c>
    </row>
    <row r="16" spans="2:8" ht="39" customHeight="1" thickBot="1" x14ac:dyDescent="0.3">
      <c r="B16" s="448"/>
      <c r="C16" s="440"/>
      <c r="D16" s="900"/>
      <c r="E16" s="290" t="s">
        <v>1216</v>
      </c>
      <c r="F16" s="246" t="s">
        <v>377</v>
      </c>
      <c r="G16" s="675" t="s">
        <v>378</v>
      </c>
      <c r="H16" s="283" t="s">
        <v>370</v>
      </c>
    </row>
    <row r="17" spans="2:8" ht="57.75" thickBot="1" x14ac:dyDescent="0.3">
      <c r="B17" s="448"/>
      <c r="C17" s="440"/>
      <c r="D17" s="900"/>
      <c r="E17" s="681" t="s">
        <v>1215</v>
      </c>
      <c r="F17" s="246" t="s">
        <v>1537</v>
      </c>
      <c r="G17" s="675" t="s">
        <v>379</v>
      </c>
      <c r="H17" s="682" t="s">
        <v>370</v>
      </c>
    </row>
    <row r="18" spans="2:8" s="177" customFormat="1" ht="47.25" customHeight="1" thickBot="1" x14ac:dyDescent="0.3">
      <c r="B18" s="449"/>
      <c r="C18" s="441"/>
      <c r="D18" s="914"/>
      <c r="E18" s="277" t="s">
        <v>1214</v>
      </c>
      <c r="F18" s="241" t="s">
        <v>372</v>
      </c>
      <c r="G18" s="663" t="s">
        <v>373</v>
      </c>
      <c r="H18" s="278" t="s">
        <v>367</v>
      </c>
    </row>
    <row r="19" spans="2:8" ht="15.75" thickBot="1" x14ac:dyDescent="0.3">
      <c r="B19" s="448"/>
      <c r="C19" s="440"/>
      <c r="D19" s="899" t="s">
        <v>26</v>
      </c>
      <c r="E19" s="206"/>
      <c r="F19" s="164" t="s">
        <v>380</v>
      </c>
      <c r="G19" s="531" t="s">
        <v>21</v>
      </c>
      <c r="H19" s="279" t="s">
        <v>934</v>
      </c>
    </row>
    <row r="20" spans="2:8" ht="28.5" x14ac:dyDescent="0.25">
      <c r="B20" s="448"/>
      <c r="C20" s="440"/>
      <c r="D20" s="900"/>
      <c r="E20" s="269" t="s">
        <v>1213</v>
      </c>
      <c r="F20" s="236" t="s">
        <v>1183</v>
      </c>
      <c r="G20" s="464">
        <v>50000000</v>
      </c>
      <c r="H20" s="270" t="s">
        <v>1182</v>
      </c>
    </row>
    <row r="21" spans="2:8" x14ac:dyDescent="0.25">
      <c r="B21" s="448"/>
      <c r="C21" s="440"/>
      <c r="D21" s="900"/>
      <c r="E21" s="271" t="s">
        <v>1212</v>
      </c>
      <c r="F21" s="237" t="s">
        <v>383</v>
      </c>
      <c r="G21" s="462" t="s">
        <v>384</v>
      </c>
      <c r="H21" s="272" t="s">
        <v>385</v>
      </c>
    </row>
    <row r="22" spans="2:8" ht="29.25" thickBot="1" x14ac:dyDescent="0.3">
      <c r="B22" s="448"/>
      <c r="C22" s="440"/>
      <c r="D22" s="900"/>
      <c r="E22" s="684" t="s">
        <v>1211</v>
      </c>
      <c r="F22" s="170" t="s">
        <v>386</v>
      </c>
      <c r="G22" s="465">
        <v>1000000</v>
      </c>
      <c r="H22" s="563" t="s">
        <v>387</v>
      </c>
    </row>
    <row r="23" spans="2:8" ht="28.5" x14ac:dyDescent="0.25">
      <c r="B23" s="448"/>
      <c r="C23" s="440"/>
      <c r="D23" s="901"/>
      <c r="E23" s="213" t="s">
        <v>1210</v>
      </c>
      <c r="F23" s="175" t="s">
        <v>388</v>
      </c>
      <c r="G23" s="467">
        <v>43750000</v>
      </c>
      <c r="H23" s="500" t="s">
        <v>1184</v>
      </c>
    </row>
    <row r="24" spans="2:8" x14ac:dyDescent="0.25">
      <c r="B24" s="448"/>
      <c r="C24" s="440"/>
      <c r="D24" s="901"/>
      <c r="E24" s="519"/>
      <c r="F24" s="514" t="s">
        <v>389</v>
      </c>
      <c r="G24" s="464">
        <v>87500000</v>
      </c>
      <c r="H24" s="505" t="s">
        <v>376</v>
      </c>
    </row>
    <row r="25" spans="2:8" ht="28.5" x14ac:dyDescent="0.25">
      <c r="B25" s="448"/>
      <c r="C25" s="440"/>
      <c r="D25" s="901"/>
      <c r="E25" s="519"/>
      <c r="F25" s="514" t="s">
        <v>390</v>
      </c>
      <c r="G25" s="464">
        <v>700000000</v>
      </c>
      <c r="H25" s="505" t="s">
        <v>376</v>
      </c>
    </row>
    <row r="26" spans="2:8" ht="15.75" thickBot="1" x14ac:dyDescent="0.3">
      <c r="B26" s="448"/>
      <c r="C26" s="440"/>
      <c r="D26" s="901"/>
      <c r="E26" s="520"/>
      <c r="F26" s="515" t="s">
        <v>391</v>
      </c>
      <c r="G26" s="690">
        <v>43750000</v>
      </c>
      <c r="H26" s="506" t="s">
        <v>376</v>
      </c>
    </row>
    <row r="27" spans="2:8" ht="15.75" thickBot="1" x14ac:dyDescent="0.3">
      <c r="B27" s="448"/>
      <c r="C27" s="440"/>
      <c r="D27" s="900"/>
      <c r="E27" s="691" t="s">
        <v>392</v>
      </c>
      <c r="F27" s="182">
        <v>1</v>
      </c>
      <c r="G27" s="466">
        <f>SUM(G22:G26)+G20</f>
        <v>926000000</v>
      </c>
      <c r="H27" s="281"/>
    </row>
    <row r="28" spans="2:8" ht="28.5" x14ac:dyDescent="0.25">
      <c r="B28" s="448"/>
      <c r="C28" s="440"/>
      <c r="D28" s="901"/>
      <c r="E28" s="523" t="s">
        <v>1209</v>
      </c>
      <c r="F28" s="502" t="s">
        <v>393</v>
      </c>
      <c r="G28" s="467">
        <v>4500000</v>
      </c>
      <c r="H28" s="282"/>
    </row>
    <row r="29" spans="2:8" ht="15.75" thickBot="1" x14ac:dyDescent="0.3">
      <c r="B29" s="448"/>
      <c r="C29" s="440"/>
      <c r="D29" s="901"/>
      <c r="E29" s="524"/>
      <c r="F29" s="684" t="s">
        <v>394</v>
      </c>
      <c r="G29" s="465">
        <v>85500000</v>
      </c>
      <c r="H29" s="171"/>
    </row>
    <row r="30" spans="2:8" ht="15.75" thickBot="1" x14ac:dyDescent="0.3">
      <c r="B30" s="448"/>
      <c r="C30" s="440"/>
      <c r="D30" s="900"/>
      <c r="E30" s="689" t="s">
        <v>1185</v>
      </c>
      <c r="F30" s="182">
        <v>1</v>
      </c>
      <c r="G30" s="466">
        <f>SUM(G28:G29)</f>
        <v>90000000</v>
      </c>
      <c r="H30" s="283" t="s">
        <v>376</v>
      </c>
    </row>
    <row r="31" spans="2:8" ht="29.25" thickBot="1" x14ac:dyDescent="0.3">
      <c r="B31" s="448"/>
      <c r="C31" s="440"/>
      <c r="D31" s="900"/>
      <c r="E31" s="9" t="s">
        <v>1208</v>
      </c>
      <c r="F31" s="6" t="s">
        <v>395</v>
      </c>
      <c r="G31" s="468">
        <v>30000000</v>
      </c>
      <c r="H31" s="6" t="s">
        <v>396</v>
      </c>
    </row>
    <row r="32" spans="2:8" ht="15.75" thickBot="1" x14ac:dyDescent="0.3">
      <c r="B32" s="448"/>
      <c r="C32" s="440"/>
      <c r="D32" s="900"/>
      <c r="E32" s="558" t="s">
        <v>1187</v>
      </c>
      <c r="F32" s="182">
        <v>1</v>
      </c>
      <c r="G32" s="665">
        <f>SUM(G31)</f>
        <v>30000000</v>
      </c>
      <c r="H32" s="294"/>
    </row>
    <row r="33" spans="2:8" ht="28.5" x14ac:dyDescent="0.25">
      <c r="B33" s="448"/>
      <c r="C33" s="440"/>
      <c r="D33" s="901"/>
      <c r="E33" s="213" t="s">
        <v>1207</v>
      </c>
      <c r="F33" s="502" t="s">
        <v>397</v>
      </c>
      <c r="G33" s="467">
        <v>50000</v>
      </c>
      <c r="H33" s="500" t="s">
        <v>376</v>
      </c>
    </row>
    <row r="34" spans="2:8" ht="29.25" thickBot="1" x14ac:dyDescent="0.3">
      <c r="B34" s="448"/>
      <c r="C34" s="440"/>
      <c r="D34" s="901"/>
      <c r="E34" s="350"/>
      <c r="F34" s="670" t="s">
        <v>398</v>
      </c>
      <c r="G34" s="671">
        <v>200000</v>
      </c>
      <c r="H34" s="562" t="s">
        <v>399</v>
      </c>
    </row>
    <row r="35" spans="2:8" ht="37.5" customHeight="1" x14ac:dyDescent="0.25">
      <c r="B35" s="448"/>
      <c r="C35" s="440"/>
      <c r="D35" s="900"/>
      <c r="E35" s="666" t="s">
        <v>1201</v>
      </c>
      <c r="F35" s="667" t="s">
        <v>400</v>
      </c>
      <c r="G35" s="668" t="s">
        <v>20</v>
      </c>
      <c r="H35" s="669" t="s">
        <v>1128</v>
      </c>
    </row>
    <row r="36" spans="2:8" ht="33.75" customHeight="1" x14ac:dyDescent="0.25">
      <c r="B36" s="448"/>
      <c r="C36" s="440"/>
      <c r="D36" s="900"/>
      <c r="E36" s="271" t="s">
        <v>1204</v>
      </c>
      <c r="F36" s="237" t="s">
        <v>401</v>
      </c>
      <c r="G36" s="462" t="s">
        <v>20</v>
      </c>
      <c r="H36" s="272" t="s">
        <v>1188</v>
      </c>
    </row>
    <row r="37" spans="2:8" ht="42.75" x14ac:dyDescent="0.25">
      <c r="B37" s="448"/>
      <c r="C37" s="440"/>
      <c r="D37" s="900"/>
      <c r="E37" s="271" t="s">
        <v>1203</v>
      </c>
      <c r="F37" s="237" t="s">
        <v>401</v>
      </c>
      <c r="G37" s="462" t="s">
        <v>20</v>
      </c>
      <c r="H37" s="272" t="s">
        <v>402</v>
      </c>
    </row>
    <row r="38" spans="2:8" ht="28.5" x14ac:dyDescent="0.25">
      <c r="B38" s="448"/>
      <c r="C38" s="440"/>
      <c r="D38" s="900"/>
      <c r="E38" s="271" t="s">
        <v>1202</v>
      </c>
      <c r="F38" s="237" t="s">
        <v>401</v>
      </c>
      <c r="G38" s="462" t="s">
        <v>20</v>
      </c>
      <c r="H38" s="272" t="s">
        <v>402</v>
      </c>
    </row>
    <row r="39" spans="2:8" ht="15.75" thickBot="1" x14ac:dyDescent="0.3">
      <c r="B39" s="448"/>
      <c r="C39" s="440"/>
      <c r="D39" s="900"/>
      <c r="E39" s="284" t="s">
        <v>1186</v>
      </c>
      <c r="F39" s="181">
        <v>1</v>
      </c>
      <c r="G39" s="469">
        <v>500250000</v>
      </c>
      <c r="H39" s="33"/>
    </row>
    <row r="40" spans="2:8" ht="42.75" x14ac:dyDescent="0.25">
      <c r="B40" s="448"/>
      <c r="C40" s="440"/>
      <c r="D40" s="900"/>
      <c r="E40" s="269" t="s">
        <v>1205</v>
      </c>
      <c r="F40" s="236" t="s">
        <v>406</v>
      </c>
      <c r="G40" s="467">
        <v>200000</v>
      </c>
      <c r="H40" s="270" t="s">
        <v>407</v>
      </c>
    </row>
    <row r="41" spans="2:8" ht="29.25" thickBot="1" x14ac:dyDescent="0.3">
      <c r="B41" s="448"/>
      <c r="C41" s="440"/>
      <c r="D41" s="900"/>
      <c r="E41" s="509" t="s">
        <v>1538</v>
      </c>
      <c r="F41" s="237" t="s">
        <v>408</v>
      </c>
      <c r="G41" s="462">
        <v>1800000</v>
      </c>
      <c r="H41" s="272" t="s">
        <v>409</v>
      </c>
    </row>
    <row r="42" spans="2:8" ht="42.75" x14ac:dyDescent="0.25">
      <c r="B42" s="448"/>
      <c r="C42" s="440"/>
      <c r="D42" s="901"/>
      <c r="E42" s="213" t="s">
        <v>1539</v>
      </c>
      <c r="F42" s="503" t="s">
        <v>410</v>
      </c>
      <c r="G42" s="464">
        <v>5000000</v>
      </c>
      <c r="H42" s="272" t="s">
        <v>411</v>
      </c>
    </row>
    <row r="43" spans="2:8" ht="29.25" thickBot="1" x14ac:dyDescent="0.3">
      <c r="B43" s="448"/>
      <c r="C43" s="440"/>
      <c r="D43" s="901"/>
      <c r="E43" s="350"/>
      <c r="F43" s="503" t="s">
        <v>1189</v>
      </c>
      <c r="G43" s="464">
        <v>10000000</v>
      </c>
      <c r="H43" s="169"/>
    </row>
    <row r="44" spans="2:8" ht="28.5" x14ac:dyDescent="0.25">
      <c r="B44" s="448"/>
      <c r="C44" s="440"/>
      <c r="D44" s="900"/>
      <c r="E44" s="672" t="s">
        <v>1540</v>
      </c>
      <c r="F44" s="237" t="s">
        <v>412</v>
      </c>
      <c r="G44" s="464">
        <v>500000</v>
      </c>
      <c r="H44" s="272" t="s">
        <v>413</v>
      </c>
    </row>
    <row r="45" spans="2:8" ht="28.5" x14ac:dyDescent="0.25">
      <c r="B45" s="448"/>
      <c r="C45" s="440"/>
      <c r="D45" s="900"/>
      <c r="E45" s="908" t="s">
        <v>1541</v>
      </c>
      <c r="F45" s="237" t="s">
        <v>414</v>
      </c>
      <c r="G45" s="464">
        <v>100000</v>
      </c>
      <c r="H45" s="272" t="s">
        <v>376</v>
      </c>
    </row>
    <row r="46" spans="2:8" ht="28.5" x14ac:dyDescent="0.25">
      <c r="B46" s="448"/>
      <c r="C46" s="440"/>
      <c r="D46" s="900"/>
      <c r="E46" s="908"/>
      <c r="F46" s="237" t="s">
        <v>415</v>
      </c>
      <c r="G46" s="464">
        <v>150000</v>
      </c>
      <c r="H46" s="272" t="s">
        <v>376</v>
      </c>
    </row>
    <row r="47" spans="2:8" ht="15.75" thickBot="1" x14ac:dyDescent="0.3">
      <c r="B47" s="448"/>
      <c r="C47" s="440"/>
      <c r="D47" s="900"/>
      <c r="E47" s="285" t="s">
        <v>1196</v>
      </c>
      <c r="F47" s="181">
        <v>1</v>
      </c>
      <c r="G47" s="470">
        <f>SUM(G40:G46)</f>
        <v>17750000</v>
      </c>
      <c r="H47" s="276"/>
    </row>
    <row r="48" spans="2:8" ht="28.5" x14ac:dyDescent="0.25">
      <c r="B48" s="448"/>
      <c r="C48" s="440"/>
      <c r="D48" s="900"/>
      <c r="E48" s="180" t="s">
        <v>1206</v>
      </c>
      <c r="F48" s="166" t="s">
        <v>393</v>
      </c>
      <c r="G48" s="461">
        <v>25000000</v>
      </c>
      <c r="H48" s="270" t="s">
        <v>467</v>
      </c>
    </row>
    <row r="49" spans="2:8" x14ac:dyDescent="0.25">
      <c r="B49" s="448"/>
      <c r="C49" s="440"/>
      <c r="D49" s="900"/>
      <c r="E49" s="165"/>
      <c r="F49" s="237" t="s">
        <v>394</v>
      </c>
      <c r="G49" s="462">
        <v>475000000</v>
      </c>
      <c r="H49" s="286" t="s">
        <v>376</v>
      </c>
    </row>
    <row r="50" spans="2:8" ht="15.75" thickBot="1" x14ac:dyDescent="0.3">
      <c r="B50" s="448"/>
      <c r="C50" s="440"/>
      <c r="D50" s="914"/>
      <c r="E50" s="284" t="s">
        <v>1195</v>
      </c>
      <c r="F50" s="181">
        <v>1</v>
      </c>
      <c r="G50" s="469">
        <f>SUM(G48:G49)</f>
        <v>500000000</v>
      </c>
      <c r="H50" s="33"/>
    </row>
    <row r="51" spans="2:8" ht="15.75" thickBot="1" x14ac:dyDescent="0.3">
      <c r="B51" s="448"/>
      <c r="C51" s="440"/>
      <c r="D51" s="783" t="s">
        <v>416</v>
      </c>
      <c r="E51" s="783"/>
      <c r="F51" s="792">
        <f>F50+F47+F39+F32+F30+F27</f>
        <v>6</v>
      </c>
      <c r="G51" s="793">
        <f>G50+G47+G39+G32+G27</f>
        <v>1974000000</v>
      </c>
      <c r="H51" s="14"/>
    </row>
    <row r="52" spans="2:8" ht="15.75" thickBot="1" x14ac:dyDescent="0.3">
      <c r="B52" s="450" t="s">
        <v>1194</v>
      </c>
      <c r="C52" s="443" t="s">
        <v>1199</v>
      </c>
      <c r="D52" s="406"/>
      <c r="E52" s="161" t="s">
        <v>22</v>
      </c>
      <c r="F52" s="231" t="s">
        <v>27</v>
      </c>
      <c r="G52" s="326" t="s">
        <v>362</v>
      </c>
      <c r="H52" s="265" t="s">
        <v>1175</v>
      </c>
    </row>
    <row r="53" spans="2:8" ht="15.75" thickBot="1" x14ac:dyDescent="0.3">
      <c r="B53" s="173"/>
      <c r="C53" s="173"/>
      <c r="D53" s="407" t="s">
        <v>23</v>
      </c>
      <c r="E53" s="206" t="s">
        <v>1192</v>
      </c>
      <c r="F53" s="208"/>
      <c r="G53" s="471"/>
      <c r="H53" s="208"/>
    </row>
    <row r="54" spans="2:8" ht="60.75" thickBot="1" x14ac:dyDescent="0.3">
      <c r="B54" s="447" t="s">
        <v>1200</v>
      </c>
      <c r="C54" s="447" t="s">
        <v>1193</v>
      </c>
      <c r="D54" s="553" t="s">
        <v>24</v>
      </c>
      <c r="E54" s="532" t="s">
        <v>417</v>
      </c>
      <c r="F54" s="685" t="s">
        <v>418</v>
      </c>
      <c r="G54" s="686" t="s">
        <v>1550</v>
      </c>
      <c r="H54" s="294" t="s">
        <v>1551</v>
      </c>
    </row>
    <row r="55" spans="2:8" x14ac:dyDescent="0.25">
      <c r="B55" s="448"/>
      <c r="C55" s="440"/>
      <c r="D55" s="909"/>
      <c r="E55" s="910" t="s">
        <v>419</v>
      </c>
      <c r="F55" s="912" t="s">
        <v>420</v>
      </c>
      <c r="G55" s="559" t="s">
        <v>421</v>
      </c>
      <c r="H55" s="912" t="s">
        <v>423</v>
      </c>
    </row>
    <row r="56" spans="2:8" ht="29.25" thickBot="1" x14ac:dyDescent="0.3">
      <c r="B56" s="448"/>
      <c r="C56" s="440"/>
      <c r="D56" s="909"/>
      <c r="E56" s="911"/>
      <c r="F56" s="913"/>
      <c r="G56" s="212" t="s">
        <v>422</v>
      </c>
      <c r="H56" s="913"/>
    </row>
    <row r="57" spans="2:8" ht="29.25" thickBot="1" x14ac:dyDescent="0.3">
      <c r="B57" s="448"/>
      <c r="C57" s="440"/>
      <c r="D57" s="574"/>
      <c r="E57" s="35" t="s">
        <v>424</v>
      </c>
      <c r="F57" s="35" t="s">
        <v>425</v>
      </c>
      <c r="G57" s="157" t="s">
        <v>373</v>
      </c>
      <c r="H57" s="35" t="s">
        <v>426</v>
      </c>
    </row>
    <row r="58" spans="2:8" ht="57.75" thickBot="1" x14ac:dyDescent="0.3">
      <c r="B58" s="448"/>
      <c r="C58" s="440"/>
      <c r="D58" s="411" t="s">
        <v>25</v>
      </c>
      <c r="E58" s="180" t="s">
        <v>427</v>
      </c>
      <c r="F58" s="166" t="s">
        <v>428</v>
      </c>
      <c r="G58" s="541" t="s">
        <v>1548</v>
      </c>
      <c r="H58" s="270" t="s">
        <v>1549</v>
      </c>
    </row>
    <row r="59" spans="2:8" ht="43.5" thickBot="1" x14ac:dyDescent="0.3">
      <c r="B59" s="448"/>
      <c r="C59" s="440"/>
      <c r="D59" s="508"/>
      <c r="E59" s="180" t="s">
        <v>430</v>
      </c>
      <c r="F59" s="166" t="s">
        <v>431</v>
      </c>
      <c r="G59" s="541" t="s">
        <v>1552</v>
      </c>
      <c r="H59" s="270" t="s">
        <v>1553</v>
      </c>
    </row>
    <row r="60" spans="2:8" ht="39.75" customHeight="1" thickBot="1" x14ac:dyDescent="0.3">
      <c r="B60" s="448"/>
      <c r="C60" s="440"/>
      <c r="D60" s="892"/>
      <c r="E60" s="180" t="s">
        <v>432</v>
      </c>
      <c r="F60" s="236" t="s">
        <v>433</v>
      </c>
      <c r="G60" s="541" t="s">
        <v>1547</v>
      </c>
      <c r="H60" s="500" t="s">
        <v>426</v>
      </c>
    </row>
    <row r="61" spans="2:8" ht="81" customHeight="1" x14ac:dyDescent="0.25">
      <c r="B61" s="448"/>
      <c r="C61" s="440"/>
      <c r="D61" s="892"/>
      <c r="E61" s="180" t="s">
        <v>434</v>
      </c>
      <c r="F61" s="236" t="s">
        <v>435</v>
      </c>
      <c r="G61" s="541" t="s">
        <v>1544</v>
      </c>
      <c r="H61" s="176" t="s">
        <v>376</v>
      </c>
    </row>
    <row r="62" spans="2:8" ht="57.75" thickBot="1" x14ac:dyDescent="0.3">
      <c r="B62" s="448"/>
      <c r="C62" s="440"/>
      <c r="D62" s="892"/>
      <c r="E62" s="9" t="s">
        <v>436</v>
      </c>
      <c r="F62" s="242" t="s">
        <v>437</v>
      </c>
      <c r="G62" s="157" t="s">
        <v>1545</v>
      </c>
      <c r="H62" s="6" t="s">
        <v>376</v>
      </c>
    </row>
    <row r="63" spans="2:8" ht="43.5" thickBot="1" x14ac:dyDescent="0.3">
      <c r="B63" s="448"/>
      <c r="C63" s="440"/>
      <c r="D63" s="892"/>
      <c r="E63" s="532" t="s">
        <v>438</v>
      </c>
      <c r="F63" s="683" t="s">
        <v>439</v>
      </c>
      <c r="G63" s="557" t="s">
        <v>1546</v>
      </c>
      <c r="H63" s="201" t="s">
        <v>440</v>
      </c>
    </row>
    <row r="64" spans="2:8" ht="29.25" thickBot="1" x14ac:dyDescent="0.3">
      <c r="B64" s="448"/>
      <c r="C64" s="440"/>
      <c r="D64" s="412"/>
      <c r="E64" s="35" t="s">
        <v>441</v>
      </c>
      <c r="F64" s="525" t="s">
        <v>442</v>
      </c>
      <c r="G64" s="460" t="s">
        <v>443</v>
      </c>
      <c r="H64" s="35" t="s">
        <v>426</v>
      </c>
    </row>
    <row r="65" spans="2:8" ht="15.75" thickBot="1" x14ac:dyDescent="0.3">
      <c r="B65" s="448"/>
      <c r="C65" s="440"/>
      <c r="D65" s="896" t="s">
        <v>26</v>
      </c>
      <c r="E65" s="184"/>
      <c r="F65" s="244" t="s">
        <v>380</v>
      </c>
      <c r="G65" s="474" t="s">
        <v>21</v>
      </c>
      <c r="H65" s="288" t="s">
        <v>934</v>
      </c>
    </row>
    <row r="66" spans="2:8" ht="42.75" x14ac:dyDescent="0.25">
      <c r="B66" s="448"/>
      <c r="C66" s="440"/>
      <c r="D66" s="896"/>
      <c r="E66" s="175" t="s">
        <v>444</v>
      </c>
      <c r="F66" s="236" t="s">
        <v>388</v>
      </c>
      <c r="G66" s="461">
        <v>5000000</v>
      </c>
      <c r="H66" s="270" t="s">
        <v>445</v>
      </c>
    </row>
    <row r="67" spans="2:8" x14ac:dyDescent="0.25">
      <c r="B67" s="448"/>
      <c r="C67" s="440"/>
      <c r="D67" s="896"/>
      <c r="E67" s="168"/>
      <c r="F67" s="237" t="s">
        <v>389</v>
      </c>
      <c r="G67" s="462">
        <v>10000000</v>
      </c>
      <c r="H67" s="274"/>
    </row>
    <row r="68" spans="2:8" ht="28.5" x14ac:dyDescent="0.25">
      <c r="B68" s="448"/>
      <c r="C68" s="440"/>
      <c r="D68" s="896"/>
      <c r="E68" s="168"/>
      <c r="F68" s="237" t="s">
        <v>1563</v>
      </c>
      <c r="G68" s="548">
        <v>180000000</v>
      </c>
      <c r="H68" s="272" t="s">
        <v>426</v>
      </c>
    </row>
    <row r="69" spans="2:8" ht="15.75" thickBot="1" x14ac:dyDescent="0.3">
      <c r="B69" s="448"/>
      <c r="C69" s="440"/>
      <c r="D69" s="896"/>
      <c r="E69" s="216"/>
      <c r="F69" s="240" t="s">
        <v>391</v>
      </c>
      <c r="G69" s="473">
        <v>5000000</v>
      </c>
      <c r="H69" s="289" t="s">
        <v>376</v>
      </c>
    </row>
    <row r="70" spans="2:8" ht="15.75" thickBot="1" x14ac:dyDescent="0.3">
      <c r="B70" s="448"/>
      <c r="C70" s="440"/>
      <c r="D70" s="897"/>
      <c r="E70" s="206" t="s">
        <v>1564</v>
      </c>
      <c r="F70" s="245"/>
      <c r="G70" s="187">
        <f>SUM(G66:G69)</f>
        <v>200000000</v>
      </c>
      <c r="H70" s="13"/>
    </row>
    <row r="71" spans="2:8" ht="43.5" thickBot="1" x14ac:dyDescent="0.3">
      <c r="B71" s="448"/>
      <c r="C71" s="440"/>
      <c r="D71" s="898"/>
      <c r="E71" s="290" t="s">
        <v>1565</v>
      </c>
      <c r="F71" s="246" t="s">
        <v>1222</v>
      </c>
      <c r="G71" s="476">
        <v>1000000</v>
      </c>
      <c r="H71" s="283" t="s">
        <v>451</v>
      </c>
    </row>
    <row r="72" spans="2:8" ht="15.75" thickBot="1" x14ac:dyDescent="0.3">
      <c r="B72" s="448"/>
      <c r="C72" s="440"/>
      <c r="D72" s="893"/>
      <c r="E72" s="206" t="s">
        <v>1566</v>
      </c>
      <c r="F72" s="245"/>
      <c r="G72" s="187">
        <f>SUM(G71)</f>
        <v>1000000</v>
      </c>
      <c r="H72" s="13"/>
    </row>
    <row r="73" spans="2:8" ht="29.25" thickBot="1" x14ac:dyDescent="0.3">
      <c r="B73" s="448"/>
      <c r="C73" s="440"/>
      <c r="D73" s="894"/>
      <c r="E73" s="290" t="s">
        <v>1223</v>
      </c>
      <c r="F73" s="246" t="s">
        <v>1224</v>
      </c>
      <c r="G73" s="476">
        <v>800000</v>
      </c>
      <c r="H73" s="283" t="s">
        <v>451</v>
      </c>
    </row>
    <row r="74" spans="2:8" ht="15.75" thickBot="1" x14ac:dyDescent="0.3">
      <c r="B74" s="448"/>
      <c r="C74" s="440"/>
      <c r="D74" s="893"/>
      <c r="E74" s="263" t="s">
        <v>449</v>
      </c>
      <c r="F74" s="247"/>
      <c r="G74" s="185">
        <f>SUM(G73)</f>
        <v>800000</v>
      </c>
      <c r="H74" s="14"/>
    </row>
    <row r="75" spans="2:8" ht="43.5" thickBot="1" x14ac:dyDescent="0.3">
      <c r="B75" s="448"/>
      <c r="C75" s="440"/>
      <c r="D75" s="893"/>
      <c r="E75" s="32" t="s">
        <v>450</v>
      </c>
      <c r="F75" s="248" t="s">
        <v>414</v>
      </c>
      <c r="G75" s="186">
        <v>3000000</v>
      </c>
      <c r="H75" s="32" t="s">
        <v>451</v>
      </c>
    </row>
    <row r="76" spans="2:8" ht="15.75" thickBot="1" x14ac:dyDescent="0.3">
      <c r="B76" s="448"/>
      <c r="C76" s="440"/>
      <c r="D76" s="893"/>
      <c r="E76" s="263" t="s">
        <v>452</v>
      </c>
      <c r="F76" s="29"/>
      <c r="G76" s="185">
        <f>SUM(G75)</f>
        <v>3000000</v>
      </c>
      <c r="H76" s="14"/>
    </row>
    <row r="77" spans="2:8" ht="29.25" thickBot="1" x14ac:dyDescent="0.3">
      <c r="B77" s="448"/>
      <c r="C77" s="440"/>
      <c r="D77" s="893"/>
      <c r="E77" s="32" t="s">
        <v>453</v>
      </c>
      <c r="F77" s="248" t="s">
        <v>454</v>
      </c>
      <c r="G77" s="186">
        <v>1000000</v>
      </c>
      <c r="H77" s="32" t="s">
        <v>451</v>
      </c>
    </row>
    <row r="78" spans="2:8" ht="29.25" thickBot="1" x14ac:dyDescent="0.3">
      <c r="B78" s="448"/>
      <c r="C78" s="440"/>
      <c r="D78" s="893"/>
      <c r="E78" s="35" t="s">
        <v>455</v>
      </c>
      <c r="F78" s="243" t="s">
        <v>456</v>
      </c>
      <c r="G78" s="460">
        <v>300000</v>
      </c>
      <c r="H78" s="35" t="s">
        <v>451</v>
      </c>
    </row>
    <row r="79" spans="2:8" ht="28.5" x14ac:dyDescent="0.25">
      <c r="B79" s="448"/>
      <c r="C79" s="440"/>
      <c r="D79" s="894"/>
      <c r="E79" s="251" t="s">
        <v>1225</v>
      </c>
      <c r="F79" s="236" t="s">
        <v>1226</v>
      </c>
      <c r="G79" s="461" t="s">
        <v>20</v>
      </c>
      <c r="H79" s="270" t="s">
        <v>1190</v>
      </c>
    </row>
    <row r="80" spans="2:8" x14ac:dyDescent="0.25">
      <c r="B80" s="448"/>
      <c r="C80" s="440"/>
      <c r="D80" s="894"/>
      <c r="E80" s="291"/>
      <c r="F80" s="237" t="s">
        <v>457</v>
      </c>
      <c r="G80" s="462" t="s">
        <v>20</v>
      </c>
      <c r="H80" s="272" t="s">
        <v>376</v>
      </c>
    </row>
    <row r="81" spans="2:8" ht="29.25" thickBot="1" x14ac:dyDescent="0.3">
      <c r="B81" s="448"/>
      <c r="C81" s="440"/>
      <c r="D81" s="894"/>
      <c r="E81" s="253" t="s">
        <v>458</v>
      </c>
      <c r="F81" s="240" t="s">
        <v>1174</v>
      </c>
      <c r="G81" s="473" t="s">
        <v>20</v>
      </c>
      <c r="H81" s="33"/>
    </row>
    <row r="82" spans="2:8" ht="15.75" thickBot="1" x14ac:dyDescent="0.3">
      <c r="B82" s="448"/>
      <c r="C82" s="440"/>
      <c r="D82" s="895"/>
      <c r="E82" s="263" t="s">
        <v>459</v>
      </c>
      <c r="F82" s="247"/>
      <c r="G82" s="185">
        <f>SUM(G77:G81)</f>
        <v>1300000</v>
      </c>
      <c r="H82" s="14"/>
    </row>
    <row r="83" spans="2:8" ht="15.75" thickBot="1" x14ac:dyDescent="0.3">
      <c r="B83" s="448"/>
      <c r="C83" s="440"/>
      <c r="D83" s="790" t="s">
        <v>460</v>
      </c>
      <c r="E83" s="791"/>
      <c r="F83" s="791"/>
      <c r="G83" s="779">
        <f>G82+G76+G74+G72+G70</f>
        <v>206100000</v>
      </c>
      <c r="H83" s="14"/>
    </row>
    <row r="84" spans="2:8" ht="15.75" thickBot="1" x14ac:dyDescent="0.3">
      <c r="B84" s="443" t="s">
        <v>1197</v>
      </c>
      <c r="C84" s="443" t="s">
        <v>1180</v>
      </c>
      <c r="D84" s="24"/>
      <c r="E84" s="188" t="s">
        <v>22</v>
      </c>
      <c r="F84" s="207" t="s">
        <v>27</v>
      </c>
      <c r="G84" s="477" t="s">
        <v>362</v>
      </c>
      <c r="H84" s="207" t="s">
        <v>1175</v>
      </c>
    </row>
    <row r="85" spans="2:8" ht="75.75" thickBot="1" x14ac:dyDescent="0.3">
      <c r="B85" s="447" t="s">
        <v>35</v>
      </c>
      <c r="C85" s="447" t="s">
        <v>1227</v>
      </c>
      <c r="D85" s="414" t="s">
        <v>23</v>
      </c>
      <c r="E85" s="174" t="s">
        <v>461</v>
      </c>
      <c r="F85" s="205"/>
      <c r="G85" s="478"/>
      <c r="H85" s="205"/>
    </row>
    <row r="86" spans="2:8" ht="86.25" thickBot="1" x14ac:dyDescent="0.3">
      <c r="B86" s="448"/>
      <c r="C86" s="440"/>
      <c r="D86" s="217" t="s">
        <v>24</v>
      </c>
      <c r="E86" s="532" t="s">
        <v>462</v>
      </c>
      <c r="F86" s="200" t="s">
        <v>463</v>
      </c>
      <c r="G86" s="695" t="s">
        <v>1567</v>
      </c>
      <c r="H86" s="201" t="s">
        <v>464</v>
      </c>
    </row>
    <row r="87" spans="2:8" ht="72" thickBot="1" x14ac:dyDescent="0.3">
      <c r="B87" s="448"/>
      <c r="C87" s="440"/>
      <c r="D87" s="512"/>
      <c r="E87" s="532" t="s">
        <v>465</v>
      </c>
      <c r="F87" s="200" t="s">
        <v>466</v>
      </c>
      <c r="G87" s="695" t="s">
        <v>1568</v>
      </c>
      <c r="H87" s="201" t="s">
        <v>467</v>
      </c>
    </row>
    <row r="88" spans="2:8" ht="27" customHeight="1" thickBot="1" x14ac:dyDescent="0.3">
      <c r="B88" s="448"/>
      <c r="C88" s="440"/>
      <c r="D88" s="416"/>
      <c r="E88" s="293" t="s">
        <v>1228</v>
      </c>
      <c r="F88" s="249" t="s">
        <v>1229</v>
      </c>
      <c r="G88" s="692" t="s">
        <v>468</v>
      </c>
      <c r="H88" s="294" t="s">
        <v>467</v>
      </c>
    </row>
    <row r="89" spans="2:8" ht="43.5" hidden="1" thickBot="1" x14ac:dyDescent="0.3">
      <c r="B89" s="448"/>
      <c r="C89" s="440"/>
      <c r="D89" s="417" t="s">
        <v>25</v>
      </c>
      <c r="E89" s="192" t="s">
        <v>469</v>
      </c>
      <c r="F89" s="193" t="s">
        <v>470</v>
      </c>
      <c r="G89" s="696" t="s">
        <v>1569</v>
      </c>
      <c r="H89" s="510" t="s">
        <v>464</v>
      </c>
    </row>
    <row r="90" spans="2:8" ht="57.75" hidden="1" thickBot="1" x14ac:dyDescent="0.3">
      <c r="B90" s="448"/>
      <c r="C90" s="440"/>
      <c r="D90" s="419"/>
      <c r="E90" s="532" t="s">
        <v>471</v>
      </c>
      <c r="F90" s="200" t="s">
        <v>472</v>
      </c>
      <c r="G90" s="695" t="s">
        <v>1570</v>
      </c>
      <c r="H90" s="201" t="s">
        <v>426</v>
      </c>
    </row>
    <row r="91" spans="2:8" ht="29.25" thickBot="1" x14ac:dyDescent="0.3">
      <c r="B91" s="448"/>
      <c r="C91" s="440"/>
      <c r="D91" s="420"/>
      <c r="E91" s="697" t="s">
        <v>1230</v>
      </c>
      <c r="F91" s="249" t="s">
        <v>1231</v>
      </c>
      <c r="G91" s="694" t="s">
        <v>1571</v>
      </c>
      <c r="H91" s="201" t="s">
        <v>376</v>
      </c>
    </row>
    <row r="92" spans="2:8" ht="15.75" thickBot="1" x14ac:dyDescent="0.3">
      <c r="B92" s="448"/>
      <c r="C92" s="440"/>
      <c r="D92" s="417" t="s">
        <v>26</v>
      </c>
      <c r="E92" s="231"/>
      <c r="F92" s="162" t="s">
        <v>380</v>
      </c>
      <c r="G92" s="693" t="s">
        <v>21</v>
      </c>
      <c r="H92" s="265" t="s">
        <v>934</v>
      </c>
    </row>
    <row r="93" spans="2:8" ht="43.5" thickBot="1" x14ac:dyDescent="0.3">
      <c r="B93" s="448"/>
      <c r="C93" s="440"/>
      <c r="D93" s="420"/>
      <c r="E93" s="35" t="s">
        <v>473</v>
      </c>
      <c r="F93" s="35" t="s">
        <v>474</v>
      </c>
      <c r="G93" s="460">
        <v>10000</v>
      </c>
      <c r="H93" s="35" t="s">
        <v>475</v>
      </c>
    </row>
    <row r="94" spans="2:8" ht="28.5" x14ac:dyDescent="0.25">
      <c r="B94" s="448"/>
      <c r="C94" s="440"/>
      <c r="D94" s="420"/>
      <c r="E94" s="266" t="s">
        <v>476</v>
      </c>
      <c r="F94" s="251" t="s">
        <v>388</v>
      </c>
      <c r="G94" s="461">
        <v>2500000</v>
      </c>
      <c r="H94" s="270" t="s">
        <v>477</v>
      </c>
    </row>
    <row r="95" spans="2:8" x14ac:dyDescent="0.25">
      <c r="B95" s="448"/>
      <c r="C95" s="440"/>
      <c r="D95" s="421"/>
      <c r="E95" s="268"/>
      <c r="F95" s="252" t="s">
        <v>1232</v>
      </c>
      <c r="G95" s="462">
        <v>5000000</v>
      </c>
      <c r="H95" s="167" t="s">
        <v>376</v>
      </c>
    </row>
    <row r="96" spans="2:8" ht="28.5" x14ac:dyDescent="0.25">
      <c r="B96" s="448"/>
      <c r="C96" s="440"/>
      <c r="D96" s="421"/>
      <c r="E96" s="268"/>
      <c r="F96" s="252" t="s">
        <v>390</v>
      </c>
      <c r="G96" s="462">
        <v>50000000</v>
      </c>
      <c r="H96" s="272" t="s">
        <v>376</v>
      </c>
    </row>
    <row r="97" spans="2:8" ht="15.75" thickBot="1" x14ac:dyDescent="0.3">
      <c r="B97" s="448"/>
      <c r="C97" s="440"/>
      <c r="D97" s="421"/>
      <c r="E97" s="295"/>
      <c r="F97" s="253" t="s">
        <v>391</v>
      </c>
      <c r="G97" s="473">
        <v>2500000</v>
      </c>
      <c r="H97" s="289" t="s">
        <v>376</v>
      </c>
    </row>
    <row r="98" spans="2:8" ht="15.75" thickBot="1" x14ac:dyDescent="0.3">
      <c r="B98" s="448"/>
      <c r="C98" s="440"/>
      <c r="D98" s="411"/>
      <c r="E98" s="263" t="s">
        <v>392</v>
      </c>
      <c r="F98" s="197">
        <v>1</v>
      </c>
      <c r="G98" s="185">
        <f>SUM(G93:G97)</f>
        <v>60010000</v>
      </c>
      <c r="H98" s="14"/>
    </row>
    <row r="99" spans="2:8" ht="29.25" thickBot="1" x14ac:dyDescent="0.3">
      <c r="B99" s="448"/>
      <c r="C99" s="440"/>
      <c r="D99" s="420"/>
      <c r="E99" s="35" t="s">
        <v>478</v>
      </c>
      <c r="F99" s="35" t="s">
        <v>414</v>
      </c>
      <c r="G99" s="460">
        <v>25200000</v>
      </c>
      <c r="H99" s="35" t="s">
        <v>477</v>
      </c>
    </row>
    <row r="100" spans="2:8" ht="15.75" thickBot="1" x14ac:dyDescent="0.3">
      <c r="B100" s="448"/>
      <c r="C100" s="440"/>
      <c r="D100" s="420"/>
      <c r="E100" s="581" t="s">
        <v>405</v>
      </c>
      <c r="F100" s="342"/>
      <c r="G100" s="698">
        <f>SUM(G99)</f>
        <v>25200000</v>
      </c>
      <c r="H100" s="294"/>
    </row>
    <row r="101" spans="2:8" ht="28.5" x14ac:dyDescent="0.25">
      <c r="B101" s="448"/>
      <c r="C101" s="440"/>
      <c r="D101" s="420"/>
      <c r="E101" s="269" t="s">
        <v>1233</v>
      </c>
      <c r="F101" s="166" t="s">
        <v>388</v>
      </c>
      <c r="G101" s="461">
        <v>1000000</v>
      </c>
      <c r="H101" s="270" t="s">
        <v>477</v>
      </c>
    </row>
    <row r="102" spans="2:8" x14ac:dyDescent="0.25">
      <c r="B102" s="448"/>
      <c r="C102" s="440"/>
      <c r="D102" s="421"/>
      <c r="E102" s="273"/>
      <c r="F102" s="237" t="s">
        <v>389</v>
      </c>
      <c r="G102" s="462">
        <v>2000000</v>
      </c>
      <c r="H102" s="272" t="s">
        <v>376</v>
      </c>
    </row>
    <row r="103" spans="2:8" ht="28.5" x14ac:dyDescent="0.25">
      <c r="B103" s="448"/>
      <c r="C103" s="440"/>
      <c r="D103" s="421"/>
      <c r="E103" s="273"/>
      <c r="F103" s="237" t="s">
        <v>390</v>
      </c>
      <c r="G103" s="462">
        <v>17000000</v>
      </c>
      <c r="H103" s="272" t="s">
        <v>376</v>
      </c>
    </row>
    <row r="104" spans="2:8" ht="15.75" thickBot="1" x14ac:dyDescent="0.3">
      <c r="B104" s="448"/>
      <c r="C104" s="440"/>
      <c r="D104" s="421"/>
      <c r="E104" s="275"/>
      <c r="F104" s="239" t="s">
        <v>391</v>
      </c>
      <c r="G104" s="463">
        <v>1000000</v>
      </c>
      <c r="H104" s="280" t="s">
        <v>376</v>
      </c>
    </row>
    <row r="105" spans="2:8" ht="15.75" thickBot="1" x14ac:dyDescent="0.3">
      <c r="B105" s="448"/>
      <c r="C105" s="440"/>
      <c r="D105" s="422"/>
      <c r="E105" s="296" t="s">
        <v>479</v>
      </c>
      <c r="F105" s="198">
        <v>2</v>
      </c>
      <c r="G105" s="481">
        <f>SUM(G101:G104)</f>
        <v>21000000</v>
      </c>
      <c r="H105" s="281"/>
    </row>
    <row r="106" spans="2:8" ht="15.75" thickBot="1" x14ac:dyDescent="0.3">
      <c r="B106" s="448"/>
      <c r="C106" s="440"/>
      <c r="D106" s="788" t="s">
        <v>480</v>
      </c>
      <c r="E106" s="777"/>
      <c r="F106" s="789">
        <v>4</v>
      </c>
      <c r="G106" s="779">
        <f>G98+G100+G105</f>
        <v>106210000</v>
      </c>
      <c r="H106" s="14"/>
    </row>
    <row r="107" spans="2:8" ht="15.75" thickBot="1" x14ac:dyDescent="0.3">
      <c r="B107" s="443" t="s">
        <v>1197</v>
      </c>
      <c r="C107" s="443" t="s">
        <v>1180</v>
      </c>
      <c r="D107" s="406"/>
      <c r="E107" s="161" t="s">
        <v>22</v>
      </c>
      <c r="F107" s="231" t="s">
        <v>27</v>
      </c>
      <c r="G107" s="326" t="s">
        <v>362</v>
      </c>
      <c r="H107" s="265" t="s">
        <v>1175</v>
      </c>
    </row>
    <row r="108" spans="2:8" ht="30.75" thickBot="1" x14ac:dyDescent="0.3">
      <c r="B108" s="447" t="s">
        <v>8</v>
      </c>
      <c r="C108" s="447" t="s">
        <v>1234</v>
      </c>
      <c r="D108" s="423" t="s">
        <v>23</v>
      </c>
      <c r="E108" s="249" t="s">
        <v>481</v>
      </c>
      <c r="F108" s="254"/>
      <c r="G108" s="482"/>
      <c r="H108" s="297"/>
    </row>
    <row r="109" spans="2:8" ht="57.75" thickBot="1" x14ac:dyDescent="0.3">
      <c r="B109" s="448"/>
      <c r="C109" s="440"/>
      <c r="D109" s="513" t="s">
        <v>24</v>
      </c>
      <c r="E109" s="532" t="s">
        <v>482</v>
      </c>
      <c r="F109" s="200" t="s">
        <v>483</v>
      </c>
      <c r="G109" s="699" t="s">
        <v>1572</v>
      </c>
      <c r="H109" s="201" t="s">
        <v>484</v>
      </c>
    </row>
    <row r="110" spans="2:8" ht="29.25" thickBot="1" x14ac:dyDescent="0.3">
      <c r="B110" s="448"/>
      <c r="C110" s="440"/>
      <c r="D110" s="416"/>
      <c r="E110" s="293" t="s">
        <v>1235</v>
      </c>
      <c r="F110" s="249" t="s">
        <v>1236</v>
      </c>
      <c r="G110" s="699" t="s">
        <v>1237</v>
      </c>
      <c r="H110" s="294" t="s">
        <v>426</v>
      </c>
    </row>
    <row r="111" spans="2:8" ht="29.25" thickBot="1" x14ac:dyDescent="0.3">
      <c r="B111" s="448"/>
      <c r="C111" s="440"/>
      <c r="D111" s="410"/>
      <c r="E111" s="35" t="s">
        <v>485</v>
      </c>
      <c r="F111" s="35" t="s">
        <v>486</v>
      </c>
      <c r="G111" s="700" t="s">
        <v>487</v>
      </c>
      <c r="H111" s="35" t="s">
        <v>426</v>
      </c>
    </row>
    <row r="112" spans="2:8" ht="29.25" thickBot="1" x14ac:dyDescent="0.3">
      <c r="B112" s="448"/>
      <c r="C112" s="440"/>
      <c r="D112" s="416"/>
      <c r="E112" s="293" t="s">
        <v>1238</v>
      </c>
      <c r="F112" s="249" t="s">
        <v>1239</v>
      </c>
      <c r="G112" s="323" t="s">
        <v>488</v>
      </c>
      <c r="H112" s="201" t="s">
        <v>376</v>
      </c>
    </row>
    <row r="113" spans="2:8" ht="29.25" thickBot="1" x14ac:dyDescent="0.3">
      <c r="B113" s="448"/>
      <c r="C113" s="440"/>
      <c r="D113" s="702" t="s">
        <v>25</v>
      </c>
      <c r="E113" s="532" t="s">
        <v>489</v>
      </c>
      <c r="F113" s="200" t="s">
        <v>490</v>
      </c>
      <c r="G113" s="699" t="s">
        <v>1573</v>
      </c>
      <c r="H113" s="201" t="s">
        <v>484</v>
      </c>
    </row>
    <row r="114" spans="2:8" ht="43.5" thickBot="1" x14ac:dyDescent="0.3">
      <c r="B114" s="448"/>
      <c r="C114" s="440"/>
      <c r="D114" s="512"/>
      <c r="E114" s="293" t="s">
        <v>1240</v>
      </c>
      <c r="F114" s="249" t="s">
        <v>1574</v>
      </c>
      <c r="G114" s="699" t="s">
        <v>1575</v>
      </c>
      <c r="H114" s="230"/>
    </row>
    <row r="115" spans="2:8" ht="29.25" thickBot="1" x14ac:dyDescent="0.3">
      <c r="B115" s="448"/>
      <c r="C115" s="440"/>
      <c r="D115" s="424"/>
      <c r="E115" s="35" t="s">
        <v>491</v>
      </c>
      <c r="F115" s="35" t="s">
        <v>492</v>
      </c>
      <c r="G115" s="700" t="s">
        <v>493</v>
      </c>
      <c r="H115" s="35" t="s">
        <v>494</v>
      </c>
    </row>
    <row r="116" spans="2:8" ht="29.25" thickBot="1" x14ac:dyDescent="0.3">
      <c r="B116" s="448"/>
      <c r="C116" s="440"/>
      <c r="D116" s="894"/>
      <c r="E116" s="293" t="s">
        <v>1241</v>
      </c>
      <c r="F116" s="249" t="s">
        <v>1242</v>
      </c>
      <c r="G116" s="699" t="s">
        <v>488</v>
      </c>
      <c r="H116" s="294" t="s">
        <v>426</v>
      </c>
    </row>
    <row r="117" spans="2:8" ht="29.25" thickBot="1" x14ac:dyDescent="0.3">
      <c r="B117" s="448"/>
      <c r="C117" s="440"/>
      <c r="D117" s="894"/>
      <c r="E117" s="293" t="s">
        <v>1243</v>
      </c>
      <c r="F117" s="249" t="s">
        <v>1244</v>
      </c>
      <c r="G117" s="699" t="s">
        <v>1245</v>
      </c>
      <c r="H117" s="201" t="s">
        <v>376</v>
      </c>
    </row>
    <row r="118" spans="2:8" ht="29.25" thickBot="1" x14ac:dyDescent="0.3">
      <c r="B118" s="448"/>
      <c r="C118" s="440"/>
      <c r="D118" s="922"/>
      <c r="E118" s="32" t="s">
        <v>495</v>
      </c>
      <c r="F118" s="32" t="s">
        <v>496</v>
      </c>
      <c r="G118" s="701" t="s">
        <v>497</v>
      </c>
      <c r="H118" s="32" t="s">
        <v>376</v>
      </c>
    </row>
    <row r="119" spans="2:8" x14ac:dyDescent="0.25">
      <c r="B119" s="448"/>
      <c r="C119" s="440"/>
      <c r="D119" s="897" t="s">
        <v>26</v>
      </c>
      <c r="E119" s="923"/>
      <c r="F119" s="925" t="s">
        <v>380</v>
      </c>
      <c r="G119" s="927" t="s">
        <v>21</v>
      </c>
      <c r="H119" s="206" t="s">
        <v>381</v>
      </c>
    </row>
    <row r="120" spans="2:8" ht="15.75" thickBot="1" x14ac:dyDescent="0.3">
      <c r="B120" s="448"/>
      <c r="C120" s="440"/>
      <c r="D120" s="897"/>
      <c r="E120" s="924"/>
      <c r="F120" s="926"/>
      <c r="G120" s="928"/>
      <c r="H120" s="206" t="s">
        <v>382</v>
      </c>
    </row>
    <row r="121" spans="2:8" ht="43.5" thickBot="1" x14ac:dyDescent="0.3">
      <c r="B121" s="448"/>
      <c r="C121" s="440"/>
      <c r="D121" s="896"/>
      <c r="E121" s="192" t="s">
        <v>498</v>
      </c>
      <c r="F121" s="193" t="s">
        <v>499</v>
      </c>
      <c r="G121" s="485">
        <v>140000</v>
      </c>
      <c r="H121" s="202" t="s">
        <v>500</v>
      </c>
    </row>
    <row r="122" spans="2:8" ht="28.5" x14ac:dyDescent="0.25">
      <c r="B122" s="448"/>
      <c r="C122" s="440"/>
      <c r="D122" s="896"/>
      <c r="E122" s="299" t="s">
        <v>1246</v>
      </c>
      <c r="F122" s="166" t="s">
        <v>388</v>
      </c>
      <c r="G122" s="461">
        <v>1750000</v>
      </c>
      <c r="H122" s="270" t="s">
        <v>550</v>
      </c>
    </row>
    <row r="123" spans="2:8" x14ac:dyDescent="0.25">
      <c r="B123" s="448"/>
      <c r="C123" s="440"/>
      <c r="D123" s="896"/>
      <c r="E123" s="300"/>
      <c r="F123" s="237" t="s">
        <v>389</v>
      </c>
      <c r="G123" s="462">
        <v>3500000</v>
      </c>
      <c r="H123" s="272" t="s">
        <v>445</v>
      </c>
    </row>
    <row r="124" spans="2:8" ht="28.5" x14ac:dyDescent="0.25">
      <c r="B124" s="448"/>
      <c r="C124" s="440"/>
      <c r="D124" s="896"/>
      <c r="E124" s="300"/>
      <c r="F124" s="237" t="s">
        <v>390</v>
      </c>
      <c r="G124" s="462">
        <v>350000000</v>
      </c>
      <c r="H124" s="272" t="s">
        <v>376</v>
      </c>
    </row>
    <row r="125" spans="2:8" ht="15.75" thickBot="1" x14ac:dyDescent="0.3">
      <c r="B125" s="448"/>
      <c r="C125" s="440"/>
      <c r="D125" s="896"/>
      <c r="E125" s="301"/>
      <c r="F125" s="240" t="s">
        <v>391</v>
      </c>
      <c r="G125" s="469">
        <v>1750000</v>
      </c>
      <c r="H125" s="289" t="s">
        <v>376</v>
      </c>
    </row>
    <row r="126" spans="2:8" ht="15.75" thickBot="1" x14ac:dyDescent="0.3">
      <c r="B126" s="448"/>
      <c r="C126" s="440"/>
      <c r="D126" s="897"/>
      <c r="E126" s="206" t="s">
        <v>392</v>
      </c>
      <c r="F126" s="197">
        <v>2</v>
      </c>
      <c r="G126" s="187">
        <f>SUM(G121:G125)</f>
        <v>357140000</v>
      </c>
      <c r="H126" s="13"/>
    </row>
    <row r="127" spans="2:8" ht="29.25" thickBot="1" x14ac:dyDescent="0.3">
      <c r="B127" s="448"/>
      <c r="C127" s="440"/>
      <c r="D127" s="896"/>
      <c r="E127" s="302" t="s">
        <v>1247</v>
      </c>
      <c r="F127" s="235" t="s">
        <v>1248</v>
      </c>
      <c r="G127" s="204">
        <v>10000</v>
      </c>
      <c r="H127" s="203"/>
    </row>
    <row r="128" spans="2:8" ht="28.5" x14ac:dyDescent="0.25">
      <c r="B128" s="448"/>
      <c r="C128" s="440"/>
      <c r="D128" s="896"/>
      <c r="E128" s="299" t="s">
        <v>1249</v>
      </c>
      <c r="F128" s="166" t="s">
        <v>388</v>
      </c>
      <c r="G128" s="461">
        <v>1000000</v>
      </c>
      <c r="H128" s="270" t="s">
        <v>547</v>
      </c>
    </row>
    <row r="129" spans="2:8" x14ac:dyDescent="0.25">
      <c r="B129" s="448"/>
      <c r="C129" s="440"/>
      <c r="D129" s="896"/>
      <c r="E129" s="300"/>
      <c r="F129" s="237" t="s">
        <v>501</v>
      </c>
      <c r="G129" s="462">
        <v>198000000</v>
      </c>
      <c r="H129" s="272" t="s">
        <v>376</v>
      </c>
    </row>
    <row r="130" spans="2:8" ht="15.75" thickBot="1" x14ac:dyDescent="0.3">
      <c r="B130" s="448"/>
      <c r="C130" s="440"/>
      <c r="D130" s="896"/>
      <c r="E130" s="301"/>
      <c r="F130" s="240" t="s">
        <v>502</v>
      </c>
      <c r="G130" s="473">
        <v>1000000</v>
      </c>
      <c r="H130" s="289" t="s">
        <v>376</v>
      </c>
    </row>
    <row r="131" spans="2:8" ht="15.75" thickBot="1" x14ac:dyDescent="0.3">
      <c r="B131" s="448"/>
      <c r="C131" s="440"/>
      <c r="D131" s="897"/>
      <c r="E131" s="206" t="s">
        <v>405</v>
      </c>
      <c r="F131" s="197">
        <v>2</v>
      </c>
      <c r="G131" s="187">
        <f>SUM(G127:G130)</f>
        <v>200010000</v>
      </c>
      <c r="H131" s="13"/>
    </row>
    <row r="132" spans="2:8" ht="28.5" x14ac:dyDescent="0.25">
      <c r="B132" s="448"/>
      <c r="C132" s="440"/>
      <c r="D132" s="896"/>
      <c r="E132" s="299" t="s">
        <v>1250</v>
      </c>
      <c r="F132" s="166" t="s">
        <v>388</v>
      </c>
      <c r="G132" s="461">
        <v>250000</v>
      </c>
      <c r="H132" s="270" t="s">
        <v>1251</v>
      </c>
    </row>
    <row r="133" spans="2:8" x14ac:dyDescent="0.25">
      <c r="B133" s="448"/>
      <c r="C133" s="440"/>
      <c r="D133" s="399"/>
      <c r="E133" s="178"/>
      <c r="F133" s="237" t="s">
        <v>389</v>
      </c>
      <c r="G133" s="462">
        <v>500000</v>
      </c>
      <c r="H133" s="272" t="s">
        <v>376</v>
      </c>
    </row>
    <row r="134" spans="2:8" ht="28.5" x14ac:dyDescent="0.25">
      <c r="B134" s="448"/>
      <c r="C134" s="440"/>
      <c r="D134" s="399"/>
      <c r="E134" s="178"/>
      <c r="F134" s="237" t="s">
        <v>390</v>
      </c>
      <c r="G134" s="462">
        <v>5000000</v>
      </c>
      <c r="H134" s="272" t="s">
        <v>376</v>
      </c>
    </row>
    <row r="135" spans="2:8" ht="15.75" thickBot="1" x14ac:dyDescent="0.3">
      <c r="B135" s="448"/>
      <c r="C135" s="440"/>
      <c r="D135" s="399"/>
      <c r="E135" s="179"/>
      <c r="F135" s="240" t="s">
        <v>391</v>
      </c>
      <c r="G135" s="473">
        <v>250000</v>
      </c>
      <c r="H135" s="289" t="s">
        <v>376</v>
      </c>
    </row>
    <row r="136" spans="2:8" ht="15.75" thickBot="1" x14ac:dyDescent="0.3">
      <c r="B136" s="448"/>
      <c r="C136" s="440"/>
      <c r="D136" s="359"/>
      <c r="E136" s="206" t="s">
        <v>504</v>
      </c>
      <c r="F136" s="197">
        <v>1</v>
      </c>
      <c r="G136" s="187">
        <f>SUM(G132:G135)</f>
        <v>6000000</v>
      </c>
      <c r="H136" s="13"/>
    </row>
    <row r="137" spans="2:8" ht="28.5" x14ac:dyDescent="0.25">
      <c r="B137" s="448"/>
      <c r="C137" s="440"/>
      <c r="D137" s="399"/>
      <c r="E137" s="299" t="s">
        <v>1576</v>
      </c>
      <c r="F137" s="236" t="s">
        <v>388</v>
      </c>
      <c r="G137" s="461">
        <v>3000000</v>
      </c>
      <c r="H137" s="270" t="s">
        <v>376</v>
      </c>
    </row>
    <row r="138" spans="2:8" x14ac:dyDescent="0.25">
      <c r="B138" s="448"/>
      <c r="C138" s="440"/>
      <c r="D138" s="399"/>
      <c r="E138" s="303"/>
      <c r="F138" s="237" t="s">
        <v>389</v>
      </c>
      <c r="G138" s="462">
        <v>6000000</v>
      </c>
      <c r="H138" s="272" t="s">
        <v>376</v>
      </c>
    </row>
    <row r="139" spans="2:8" ht="28.5" x14ac:dyDescent="0.25">
      <c r="B139" s="448"/>
      <c r="C139" s="440"/>
      <c r="D139" s="399"/>
      <c r="E139" s="300"/>
      <c r="F139" s="237" t="s">
        <v>390</v>
      </c>
      <c r="G139" s="462">
        <v>60000000</v>
      </c>
      <c r="H139" s="167" t="s">
        <v>376</v>
      </c>
    </row>
    <row r="140" spans="2:8" ht="15.75" thickBot="1" x14ac:dyDescent="0.3">
      <c r="B140" s="448"/>
      <c r="C140" s="440"/>
      <c r="D140" s="399"/>
      <c r="E140" s="301"/>
      <c r="F140" s="240" t="s">
        <v>391</v>
      </c>
      <c r="G140" s="473">
        <v>3000000</v>
      </c>
      <c r="H140" s="289" t="s">
        <v>376</v>
      </c>
    </row>
    <row r="141" spans="2:8" ht="15.75" thickBot="1" x14ac:dyDescent="0.3">
      <c r="B141" s="448"/>
      <c r="C141" s="440"/>
      <c r="D141" s="358"/>
      <c r="E141" s="263" t="s">
        <v>1577</v>
      </c>
      <c r="F141" s="197">
        <v>1</v>
      </c>
      <c r="G141" s="185">
        <f>SUM(G137:G140)</f>
        <v>72000000</v>
      </c>
      <c r="H141" s="14"/>
    </row>
    <row r="142" spans="2:8" ht="15.75" thickBot="1" x14ac:dyDescent="0.3">
      <c r="B142" s="448"/>
      <c r="C142" s="440"/>
      <c r="D142" s="784" t="s">
        <v>505</v>
      </c>
      <c r="E142" s="784"/>
      <c r="F142" s="787">
        <f>F141+F131+F126</f>
        <v>5</v>
      </c>
      <c r="G142" s="779">
        <f>G141+G136+G131+G126</f>
        <v>635150000</v>
      </c>
      <c r="H142" s="14"/>
    </row>
    <row r="143" spans="2:8" ht="15.75" thickBot="1" x14ac:dyDescent="0.3">
      <c r="B143" s="443" t="s">
        <v>1197</v>
      </c>
      <c r="C143" s="443" t="s">
        <v>1180</v>
      </c>
      <c r="D143" s="406"/>
      <c r="E143" s="183" t="s">
        <v>22</v>
      </c>
      <c r="F143" s="231" t="s">
        <v>27</v>
      </c>
      <c r="G143" s="326" t="s">
        <v>362</v>
      </c>
      <c r="H143" s="265" t="s">
        <v>1175</v>
      </c>
    </row>
    <row r="144" spans="2:8" ht="45.75" thickBot="1" x14ac:dyDescent="0.3">
      <c r="B144" s="446" t="s">
        <v>38</v>
      </c>
      <c r="C144" s="362" t="s">
        <v>1252</v>
      </c>
      <c r="D144" s="425" t="s">
        <v>23</v>
      </c>
      <c r="E144" s="249" t="s">
        <v>506</v>
      </c>
      <c r="F144" s="254"/>
      <c r="G144" s="482"/>
      <c r="H144" s="297"/>
    </row>
    <row r="145" spans="2:8" ht="143.25" thickBot="1" x14ac:dyDescent="0.3">
      <c r="B145" s="448"/>
      <c r="C145" s="440"/>
      <c r="D145" s="217" t="s">
        <v>24</v>
      </c>
      <c r="E145" s="703" t="s">
        <v>507</v>
      </c>
      <c r="F145" s="249" t="s">
        <v>1579</v>
      </c>
      <c r="G145" s="557" t="s">
        <v>1580</v>
      </c>
      <c r="H145" s="294" t="s">
        <v>1578</v>
      </c>
    </row>
    <row r="146" spans="2:8" ht="43.5" thickBot="1" x14ac:dyDescent="0.3">
      <c r="B146" s="448"/>
      <c r="C146" s="440"/>
      <c r="D146" s="512"/>
      <c r="E146" s="703" t="s">
        <v>508</v>
      </c>
      <c r="F146" s="249" t="s">
        <v>1581</v>
      </c>
      <c r="G146" s="557" t="s">
        <v>1582</v>
      </c>
      <c r="H146" s="201" t="s">
        <v>376</v>
      </c>
    </row>
    <row r="147" spans="2:8" ht="57.75" thickBot="1" x14ac:dyDescent="0.3">
      <c r="B147" s="448"/>
      <c r="C147" s="440"/>
      <c r="D147" s="512"/>
      <c r="E147" s="320" t="s">
        <v>1253</v>
      </c>
      <c r="F147" s="249" t="s">
        <v>1583</v>
      </c>
      <c r="G147" s="557" t="s">
        <v>998</v>
      </c>
      <c r="H147" s="201" t="s">
        <v>376</v>
      </c>
    </row>
    <row r="148" spans="2:8" ht="29.25" thickBot="1" x14ac:dyDescent="0.3">
      <c r="B148" s="448"/>
      <c r="C148" s="440"/>
      <c r="D148" s="400" t="s">
        <v>25</v>
      </c>
      <c r="E148" s="293" t="s">
        <v>1254</v>
      </c>
      <c r="F148" s="249" t="s">
        <v>1255</v>
      </c>
      <c r="G148" s="557" t="s">
        <v>1256</v>
      </c>
      <c r="H148" s="201" t="s">
        <v>509</v>
      </c>
    </row>
    <row r="149" spans="2:8" ht="29.25" thickBot="1" x14ac:dyDescent="0.3">
      <c r="B149" s="448"/>
      <c r="C149" s="440"/>
      <c r="D149" s="401"/>
      <c r="E149" s="293" t="s">
        <v>1258</v>
      </c>
      <c r="F149" s="200" t="s">
        <v>510</v>
      </c>
      <c r="G149" s="557" t="s">
        <v>1257</v>
      </c>
      <c r="H149" s="201" t="s">
        <v>376</v>
      </c>
    </row>
    <row r="150" spans="2:8" ht="29.25" thickBot="1" x14ac:dyDescent="0.3">
      <c r="B150" s="448"/>
      <c r="C150" s="440"/>
      <c r="D150" s="402"/>
      <c r="E150" s="32" t="s">
        <v>511</v>
      </c>
      <c r="F150" s="32" t="s">
        <v>512</v>
      </c>
      <c r="G150" s="212" t="s">
        <v>513</v>
      </c>
      <c r="H150" s="32" t="s">
        <v>376</v>
      </c>
    </row>
    <row r="151" spans="2:8" ht="29.25" thickBot="1" x14ac:dyDescent="0.3">
      <c r="B151" s="448"/>
      <c r="C151" s="440"/>
      <c r="D151" s="402"/>
      <c r="E151" s="35" t="s">
        <v>514</v>
      </c>
      <c r="F151" s="35" t="s">
        <v>515</v>
      </c>
      <c r="G151" s="157" t="s">
        <v>516</v>
      </c>
      <c r="H151" s="35" t="s">
        <v>376</v>
      </c>
    </row>
    <row r="152" spans="2:8" ht="29.25" thickBot="1" x14ac:dyDescent="0.3">
      <c r="B152" s="448"/>
      <c r="C152" s="440"/>
      <c r="D152" s="401"/>
      <c r="E152" s="293" t="s">
        <v>1259</v>
      </c>
      <c r="F152" s="249" t="s">
        <v>1260</v>
      </c>
      <c r="G152" s="557" t="s">
        <v>1261</v>
      </c>
      <c r="H152" s="201" t="s">
        <v>376</v>
      </c>
    </row>
    <row r="153" spans="2:8" ht="29.25" thickBot="1" x14ac:dyDescent="0.3">
      <c r="B153" s="448"/>
      <c r="C153" s="440"/>
      <c r="D153" s="402"/>
      <c r="E153" s="32" t="s">
        <v>517</v>
      </c>
      <c r="F153" s="32" t="s">
        <v>518</v>
      </c>
      <c r="G153" s="212" t="s">
        <v>519</v>
      </c>
      <c r="H153" s="32" t="s">
        <v>376</v>
      </c>
    </row>
    <row r="154" spans="2:8" ht="29.25" thickBot="1" x14ac:dyDescent="0.3">
      <c r="B154" s="448"/>
      <c r="C154" s="440"/>
      <c r="D154" s="402"/>
      <c r="E154" s="35" t="s">
        <v>520</v>
      </c>
      <c r="F154" s="35" t="s">
        <v>521</v>
      </c>
      <c r="G154" s="157" t="s">
        <v>488</v>
      </c>
      <c r="H154" s="35" t="s">
        <v>376</v>
      </c>
    </row>
    <row r="155" spans="2:8" ht="25.5" customHeight="1" thickBot="1" x14ac:dyDescent="0.3">
      <c r="B155" s="448"/>
      <c r="C155" s="440"/>
      <c r="D155" s="401"/>
      <c r="E155" s="293" t="s">
        <v>1262</v>
      </c>
      <c r="F155" s="200" t="s">
        <v>522</v>
      </c>
      <c r="G155" s="557" t="s">
        <v>1263</v>
      </c>
      <c r="H155" s="201" t="s">
        <v>376</v>
      </c>
    </row>
    <row r="156" spans="2:8" ht="29.25" thickBot="1" x14ac:dyDescent="0.3">
      <c r="B156" s="448"/>
      <c r="C156" s="440"/>
      <c r="D156" s="402"/>
      <c r="E156" s="35" t="s">
        <v>523</v>
      </c>
      <c r="F156" s="35" t="s">
        <v>524</v>
      </c>
      <c r="G156" s="157" t="s">
        <v>488</v>
      </c>
      <c r="H156" s="35" t="s">
        <v>376</v>
      </c>
    </row>
    <row r="157" spans="2:8" ht="29.25" thickBot="1" x14ac:dyDescent="0.3">
      <c r="B157" s="448"/>
      <c r="C157" s="440"/>
      <c r="D157" s="401"/>
      <c r="E157" s="293" t="s">
        <v>1264</v>
      </c>
      <c r="F157" s="249" t="s">
        <v>1265</v>
      </c>
      <c r="G157" s="557" t="s">
        <v>1266</v>
      </c>
      <c r="H157" s="201" t="s">
        <v>376</v>
      </c>
    </row>
    <row r="158" spans="2:8" ht="15.75" thickBot="1" x14ac:dyDescent="0.3">
      <c r="B158" s="448"/>
      <c r="C158" s="440"/>
      <c r="D158" s="417" t="s">
        <v>26</v>
      </c>
      <c r="E158" s="113"/>
      <c r="F158" s="162" t="s">
        <v>64</v>
      </c>
      <c r="G158" s="494" t="s">
        <v>21</v>
      </c>
      <c r="H158" s="265" t="s">
        <v>934</v>
      </c>
    </row>
    <row r="159" spans="2:8" ht="29.25" thickBot="1" x14ac:dyDescent="0.3">
      <c r="B159" s="448"/>
      <c r="C159" s="440"/>
      <c r="D159" s="418"/>
      <c r="E159" s="35" t="s">
        <v>1267</v>
      </c>
      <c r="F159" s="6" t="s">
        <v>388</v>
      </c>
      <c r="G159" s="486">
        <v>235000000</v>
      </c>
      <c r="H159" s="35" t="s">
        <v>525</v>
      </c>
    </row>
    <row r="160" spans="2:8" ht="15.75" thickBot="1" x14ac:dyDescent="0.3">
      <c r="B160" s="448"/>
      <c r="C160" s="440"/>
      <c r="D160" s="418"/>
      <c r="E160" s="13"/>
      <c r="F160" s="32" t="s">
        <v>389</v>
      </c>
      <c r="G160" s="486">
        <v>470000000</v>
      </c>
      <c r="H160" s="32" t="s">
        <v>525</v>
      </c>
    </row>
    <row r="161" spans="2:8" ht="15.75" thickBot="1" x14ac:dyDescent="0.3">
      <c r="B161" s="448"/>
      <c r="C161" s="440"/>
      <c r="D161" s="418"/>
      <c r="E161" s="14"/>
      <c r="F161" s="32" t="s">
        <v>526</v>
      </c>
      <c r="G161" s="486">
        <v>3760000000</v>
      </c>
      <c r="H161" s="32" t="s">
        <v>525</v>
      </c>
    </row>
    <row r="162" spans="2:8" ht="15.75" thickBot="1" x14ac:dyDescent="0.3">
      <c r="B162" s="448"/>
      <c r="C162" s="440"/>
      <c r="D162" s="419"/>
      <c r="E162" s="28"/>
      <c r="F162" s="256" t="s">
        <v>391</v>
      </c>
      <c r="G162" s="486">
        <v>235000000</v>
      </c>
      <c r="H162" s="256" t="s">
        <v>376</v>
      </c>
    </row>
    <row r="163" spans="2:8" ht="15.75" thickBot="1" x14ac:dyDescent="0.3">
      <c r="B163" s="448"/>
      <c r="C163" s="440"/>
      <c r="D163" s="419"/>
      <c r="E163" s="263" t="s">
        <v>1584</v>
      </c>
      <c r="F163" s="13"/>
      <c r="G163" s="187">
        <f>SUM(G159:G162)</f>
        <v>4700000000</v>
      </c>
      <c r="H163" s="13"/>
    </row>
    <row r="164" spans="2:8" ht="28.5" x14ac:dyDescent="0.25">
      <c r="B164" s="448"/>
      <c r="C164" s="440"/>
      <c r="D164" s="419"/>
      <c r="E164" s="259" t="s">
        <v>1585</v>
      </c>
      <c r="F164" s="175" t="s">
        <v>388</v>
      </c>
      <c r="G164" s="461">
        <v>5025000</v>
      </c>
      <c r="H164" s="270" t="s">
        <v>525</v>
      </c>
    </row>
    <row r="165" spans="2:8" x14ac:dyDescent="0.25">
      <c r="B165" s="448"/>
      <c r="C165" s="440"/>
      <c r="D165" s="419"/>
      <c r="E165" s="211"/>
      <c r="F165" s="252" t="s">
        <v>389</v>
      </c>
      <c r="G165" s="462">
        <v>10050000</v>
      </c>
      <c r="H165" s="272" t="s">
        <v>525</v>
      </c>
    </row>
    <row r="166" spans="2:8" x14ac:dyDescent="0.25">
      <c r="B166" s="448"/>
      <c r="C166" s="440"/>
      <c r="D166" s="419"/>
      <c r="E166" s="211"/>
      <c r="F166" s="252" t="s">
        <v>526</v>
      </c>
      <c r="G166" s="462">
        <v>80400000</v>
      </c>
      <c r="H166" s="272" t="s">
        <v>525</v>
      </c>
    </row>
    <row r="167" spans="2:8" ht="15.75" thickBot="1" x14ac:dyDescent="0.3">
      <c r="B167" s="448"/>
      <c r="C167" s="440"/>
      <c r="D167" s="419"/>
      <c r="E167" s="211"/>
      <c r="F167" s="216" t="s">
        <v>391</v>
      </c>
      <c r="G167" s="473">
        <v>5025000</v>
      </c>
      <c r="H167" s="289" t="s">
        <v>525</v>
      </c>
    </row>
    <row r="168" spans="2:8" ht="15.75" thickBot="1" x14ac:dyDescent="0.3">
      <c r="B168" s="448"/>
      <c r="C168" s="440"/>
      <c r="D168" s="419"/>
      <c r="E168" s="346" t="s">
        <v>1586</v>
      </c>
      <c r="F168" s="13"/>
      <c r="G168" s="187">
        <f>SUM(G164:G167)</f>
        <v>100500000</v>
      </c>
      <c r="H168" s="13"/>
    </row>
    <row r="169" spans="2:8" ht="42.75" x14ac:dyDescent="0.25">
      <c r="B169" s="448"/>
      <c r="C169" s="440"/>
      <c r="D169" s="419"/>
      <c r="E169" s="269" t="s">
        <v>1268</v>
      </c>
      <c r="F169" s="166" t="s">
        <v>388</v>
      </c>
      <c r="G169" s="461">
        <v>60000000</v>
      </c>
      <c r="H169" s="270" t="s">
        <v>525</v>
      </c>
    </row>
    <row r="170" spans="2:8" x14ac:dyDescent="0.25">
      <c r="B170" s="448"/>
      <c r="C170" s="440"/>
      <c r="D170" s="419"/>
      <c r="E170" s="273"/>
      <c r="F170" s="237" t="s">
        <v>389</v>
      </c>
      <c r="G170" s="462">
        <v>120000000</v>
      </c>
      <c r="H170" s="272" t="s">
        <v>376</v>
      </c>
    </row>
    <row r="171" spans="2:8" x14ac:dyDescent="0.25">
      <c r="B171" s="448"/>
      <c r="C171" s="440"/>
      <c r="D171" s="419"/>
      <c r="E171" s="273"/>
      <c r="F171" s="237" t="s">
        <v>526</v>
      </c>
      <c r="G171" s="462">
        <v>960000000</v>
      </c>
      <c r="H171" s="167" t="s">
        <v>376</v>
      </c>
    </row>
    <row r="172" spans="2:8" ht="15.75" thickBot="1" x14ac:dyDescent="0.3">
      <c r="B172" s="448"/>
      <c r="C172" s="440"/>
      <c r="D172" s="419"/>
      <c r="E172" s="304"/>
      <c r="F172" s="240" t="s">
        <v>391</v>
      </c>
      <c r="G172" s="473">
        <v>60000000</v>
      </c>
      <c r="H172" s="289" t="s">
        <v>376</v>
      </c>
    </row>
    <row r="173" spans="2:8" ht="15.75" thickBot="1" x14ac:dyDescent="0.3">
      <c r="B173" s="448"/>
      <c r="C173" s="440"/>
      <c r="D173" s="419"/>
      <c r="E173" s="263" t="s">
        <v>1587</v>
      </c>
      <c r="F173" s="13"/>
      <c r="G173" s="187">
        <f>SUM(G169:G172)</f>
        <v>1200000000</v>
      </c>
      <c r="H173" s="35" t="s">
        <v>376</v>
      </c>
    </row>
    <row r="174" spans="2:8" ht="28.5" x14ac:dyDescent="0.25">
      <c r="B174" s="448"/>
      <c r="C174" s="440"/>
      <c r="D174" s="419"/>
      <c r="E174" s="218" t="s">
        <v>528</v>
      </c>
      <c r="F174" s="251" t="s">
        <v>529</v>
      </c>
      <c r="G174" s="461">
        <v>50000</v>
      </c>
      <c r="H174" s="270" t="s">
        <v>376</v>
      </c>
    </row>
    <row r="175" spans="2:8" ht="15.75" thickBot="1" x14ac:dyDescent="0.3">
      <c r="B175" s="448"/>
      <c r="C175" s="440"/>
      <c r="D175" s="419"/>
      <c r="E175" s="22"/>
      <c r="F175" s="673" t="s">
        <v>533</v>
      </c>
      <c r="G175" s="463">
        <v>1450000</v>
      </c>
      <c r="H175" s="563" t="s">
        <v>376</v>
      </c>
    </row>
    <row r="176" spans="2:8" ht="15.75" thickBot="1" x14ac:dyDescent="0.3">
      <c r="B176" s="448"/>
      <c r="C176" s="440"/>
      <c r="D176" s="419"/>
      <c r="E176" s="581" t="s">
        <v>1588</v>
      </c>
      <c r="F176" s="704"/>
      <c r="G176" s="705">
        <f>SUM(G174:G175)</f>
        <v>1500000</v>
      </c>
      <c r="H176" s="283"/>
    </row>
    <row r="177" spans="2:8" x14ac:dyDescent="0.25">
      <c r="B177" s="448"/>
      <c r="C177" s="440"/>
      <c r="D177" s="419"/>
      <c r="E177" s="22" t="s">
        <v>531</v>
      </c>
      <c r="F177" s="674" t="s">
        <v>388</v>
      </c>
      <c r="G177" s="668">
        <v>34500000</v>
      </c>
      <c r="H177" s="669" t="s">
        <v>525</v>
      </c>
    </row>
    <row r="178" spans="2:8" x14ac:dyDescent="0.25">
      <c r="B178" s="448"/>
      <c r="C178" s="440"/>
      <c r="D178" s="419"/>
      <c r="E178" s="22"/>
      <c r="F178" s="252" t="s">
        <v>389</v>
      </c>
      <c r="G178" s="462">
        <v>69000000</v>
      </c>
      <c r="H178" s="272" t="s">
        <v>525</v>
      </c>
    </row>
    <row r="179" spans="2:8" x14ac:dyDescent="0.25">
      <c r="B179" s="448"/>
      <c r="C179" s="440"/>
      <c r="D179" s="419"/>
      <c r="E179" s="22"/>
      <c r="F179" s="252" t="s">
        <v>526</v>
      </c>
      <c r="G179" s="462">
        <v>552000000</v>
      </c>
      <c r="H179" s="272" t="s">
        <v>525</v>
      </c>
    </row>
    <row r="180" spans="2:8" ht="15.75" thickBot="1" x14ac:dyDescent="0.3">
      <c r="B180" s="448"/>
      <c r="C180" s="440"/>
      <c r="D180" s="419"/>
      <c r="E180" s="22"/>
      <c r="F180" s="688" t="s">
        <v>391</v>
      </c>
      <c r="G180" s="463">
        <v>34500000</v>
      </c>
      <c r="H180" s="501" t="s">
        <v>525</v>
      </c>
    </row>
    <row r="181" spans="2:8" ht="15.75" thickBot="1" x14ac:dyDescent="0.3">
      <c r="B181" s="448"/>
      <c r="C181" s="440"/>
      <c r="D181" s="419"/>
      <c r="E181" s="309" t="s">
        <v>1589</v>
      </c>
      <c r="F181" s="704"/>
      <c r="G181" s="705">
        <f>SUM(G177:G180)</f>
        <v>690000000</v>
      </c>
      <c r="H181" s="281"/>
    </row>
    <row r="182" spans="2:8" ht="28.5" x14ac:dyDescent="0.25">
      <c r="B182" s="448"/>
      <c r="C182" s="440"/>
      <c r="D182" s="399"/>
      <c r="E182" s="523" t="s">
        <v>1269</v>
      </c>
      <c r="F182" s="502" t="s">
        <v>388</v>
      </c>
      <c r="G182" s="461">
        <v>64500000</v>
      </c>
      <c r="H182" s="270" t="s">
        <v>376</v>
      </c>
    </row>
    <row r="183" spans="2:8" x14ac:dyDescent="0.25">
      <c r="B183" s="448"/>
      <c r="C183" s="440"/>
      <c r="D183" s="399"/>
      <c r="E183" s="233"/>
      <c r="F183" s="503" t="s">
        <v>389</v>
      </c>
      <c r="G183" s="462">
        <v>129000000</v>
      </c>
      <c r="H183" s="272" t="s">
        <v>376</v>
      </c>
    </row>
    <row r="184" spans="2:8" x14ac:dyDescent="0.25">
      <c r="B184" s="448"/>
      <c r="C184" s="440"/>
      <c r="D184" s="399"/>
      <c r="E184" s="233"/>
      <c r="F184" s="503" t="s">
        <v>526</v>
      </c>
      <c r="G184" s="462">
        <v>1032000000</v>
      </c>
      <c r="H184" s="272" t="s">
        <v>376</v>
      </c>
    </row>
    <row r="185" spans="2:8" ht="15.75" thickBot="1" x14ac:dyDescent="0.3">
      <c r="B185" s="448"/>
      <c r="C185" s="440"/>
      <c r="D185" s="399"/>
      <c r="E185" s="520"/>
      <c r="F185" s="504" t="s">
        <v>391</v>
      </c>
      <c r="G185" s="473">
        <v>64500000</v>
      </c>
      <c r="H185" s="289" t="s">
        <v>376</v>
      </c>
    </row>
    <row r="186" spans="2:8" ht="15.75" thickBot="1" x14ac:dyDescent="0.3">
      <c r="B186" s="448"/>
      <c r="C186" s="440"/>
      <c r="D186" s="419"/>
      <c r="E186" s="206" t="s">
        <v>1590</v>
      </c>
      <c r="F186" s="13"/>
      <c r="G186" s="187">
        <f>SUM(G182:G185)</f>
        <v>1290000000</v>
      </c>
      <c r="H186" s="35" t="s">
        <v>376</v>
      </c>
    </row>
    <row r="187" spans="2:8" ht="28.5" x14ac:dyDescent="0.25">
      <c r="B187" s="448"/>
      <c r="C187" s="440"/>
      <c r="D187" s="399"/>
      <c r="E187" s="251" t="s">
        <v>1270</v>
      </c>
      <c r="F187" s="236" t="s">
        <v>529</v>
      </c>
      <c r="G187" s="461">
        <v>500000</v>
      </c>
      <c r="H187" s="270" t="s">
        <v>376</v>
      </c>
    </row>
    <row r="188" spans="2:8" x14ac:dyDescent="0.25">
      <c r="B188" s="448"/>
      <c r="C188" s="440"/>
      <c r="D188" s="399"/>
      <c r="E188" s="252"/>
      <c r="F188" s="237" t="s">
        <v>533</v>
      </c>
      <c r="G188" s="462">
        <v>2500000</v>
      </c>
      <c r="H188" s="272" t="s">
        <v>376</v>
      </c>
    </row>
    <row r="189" spans="2:8" ht="15.75" thickBot="1" x14ac:dyDescent="0.3">
      <c r="B189" s="448"/>
      <c r="C189" s="440"/>
      <c r="D189" s="399"/>
      <c r="E189" s="306" t="s">
        <v>1591</v>
      </c>
      <c r="F189" s="238"/>
      <c r="G189" s="487">
        <f>SUM(G187:G188)</f>
        <v>3000000</v>
      </c>
      <c r="H189" s="501" t="s">
        <v>376</v>
      </c>
    </row>
    <row r="190" spans="2:8" x14ac:dyDescent="0.25">
      <c r="B190" s="448"/>
      <c r="C190" s="440"/>
      <c r="D190" s="419"/>
      <c r="E190" s="22" t="s">
        <v>534</v>
      </c>
      <c r="F190" s="516" t="s">
        <v>529</v>
      </c>
      <c r="G190" s="511">
        <v>50000</v>
      </c>
      <c r="H190" s="516" t="s">
        <v>376</v>
      </c>
    </row>
    <row r="191" spans="2:8" ht="15.75" thickBot="1" x14ac:dyDescent="0.3">
      <c r="B191" s="448"/>
      <c r="C191" s="440"/>
      <c r="D191" s="419"/>
      <c r="E191" s="22"/>
      <c r="F191" s="517" t="s">
        <v>533</v>
      </c>
      <c r="G191" s="463">
        <v>700000</v>
      </c>
      <c r="H191" s="170" t="s">
        <v>376</v>
      </c>
    </row>
    <row r="192" spans="2:8" ht="15.75" thickBot="1" x14ac:dyDescent="0.3">
      <c r="B192" s="448"/>
      <c r="C192" s="440"/>
      <c r="D192" s="419"/>
      <c r="E192" s="455" t="s">
        <v>1592</v>
      </c>
      <c r="F192" s="254"/>
      <c r="G192" s="576">
        <f>SUM(G190:G191)</f>
        <v>750000</v>
      </c>
      <c r="H192" s="294" t="s">
        <v>376</v>
      </c>
    </row>
    <row r="193" spans="2:8" ht="28.5" x14ac:dyDescent="0.25">
      <c r="B193" s="448"/>
      <c r="C193" s="440"/>
      <c r="D193" s="399"/>
      <c r="E193" s="175" t="s">
        <v>535</v>
      </c>
      <c r="F193" s="236" t="s">
        <v>529</v>
      </c>
      <c r="G193" s="461">
        <v>100000</v>
      </c>
      <c r="H193" s="270" t="s">
        <v>376</v>
      </c>
    </row>
    <row r="194" spans="2:8" x14ac:dyDescent="0.25">
      <c r="B194" s="448"/>
      <c r="C194" s="440"/>
      <c r="D194" s="399"/>
      <c r="E194" s="168"/>
      <c r="F194" s="237" t="s">
        <v>533</v>
      </c>
      <c r="G194" s="462">
        <v>800000</v>
      </c>
      <c r="H194" s="272" t="s">
        <v>376</v>
      </c>
    </row>
    <row r="195" spans="2:8" x14ac:dyDescent="0.25">
      <c r="B195" s="448"/>
      <c r="C195" s="440"/>
      <c r="D195" s="399"/>
      <c r="E195" s="168"/>
      <c r="F195" s="237" t="s">
        <v>391</v>
      </c>
      <c r="G195" s="462">
        <v>100000</v>
      </c>
      <c r="H195" s="272" t="s">
        <v>376</v>
      </c>
    </row>
    <row r="196" spans="2:8" ht="15.75" thickBot="1" x14ac:dyDescent="0.3">
      <c r="B196" s="448"/>
      <c r="C196" s="440"/>
      <c r="D196" s="399"/>
      <c r="E196" s="307" t="s">
        <v>1593</v>
      </c>
      <c r="F196" s="238"/>
      <c r="G196" s="487">
        <f>SUM(G193:G195)</f>
        <v>1000000</v>
      </c>
      <c r="H196" s="280" t="s">
        <v>376</v>
      </c>
    </row>
    <row r="197" spans="2:8" x14ac:dyDescent="0.25">
      <c r="B197" s="448"/>
      <c r="C197" s="440"/>
      <c r="D197" s="399"/>
      <c r="E197" s="251" t="s">
        <v>536</v>
      </c>
      <c r="F197" s="236" t="s">
        <v>537</v>
      </c>
      <c r="G197" s="461">
        <v>1000000</v>
      </c>
      <c r="H197" s="270" t="s">
        <v>376</v>
      </c>
    </row>
    <row r="198" spans="2:8" ht="15.75" thickBot="1" x14ac:dyDescent="0.3">
      <c r="B198" s="448"/>
      <c r="C198" s="440"/>
      <c r="D198" s="399"/>
      <c r="E198" s="306" t="s">
        <v>1594</v>
      </c>
      <c r="F198" s="257"/>
      <c r="G198" s="469">
        <f>SUM(G197)</f>
        <v>1000000</v>
      </c>
      <c r="H198" s="289" t="s">
        <v>376</v>
      </c>
    </row>
    <row r="199" spans="2:8" ht="15.75" thickBot="1" x14ac:dyDescent="0.3">
      <c r="B199" s="448"/>
      <c r="C199" s="440"/>
      <c r="D199" s="786" t="s">
        <v>538</v>
      </c>
      <c r="E199" s="778"/>
      <c r="F199" s="778"/>
      <c r="G199" s="779">
        <f>G163+G168+G173+G176+G181+G186+G189+G192+G196+G198</f>
        <v>7987750000</v>
      </c>
      <c r="H199" s="32" t="s">
        <v>376</v>
      </c>
    </row>
    <row r="200" spans="2:8" ht="15.75" thickBot="1" x14ac:dyDescent="0.3">
      <c r="B200" s="450" t="s">
        <v>1194</v>
      </c>
      <c r="C200" s="443" t="s">
        <v>1199</v>
      </c>
      <c r="D200" s="406"/>
      <c r="E200" s="183" t="s">
        <v>22</v>
      </c>
      <c r="F200" s="231" t="s">
        <v>27</v>
      </c>
      <c r="G200" s="326" t="s">
        <v>362</v>
      </c>
      <c r="H200" s="265" t="s">
        <v>1175</v>
      </c>
    </row>
    <row r="201" spans="2:8" ht="60.75" thickBot="1" x14ac:dyDescent="0.3">
      <c r="B201" s="446" t="s">
        <v>9</v>
      </c>
      <c r="C201" s="446" t="s">
        <v>1271</v>
      </c>
      <c r="D201" s="367" t="s">
        <v>23</v>
      </c>
      <c r="E201" s="507" t="s">
        <v>539</v>
      </c>
      <c r="F201" s="522"/>
      <c r="G201" s="472"/>
      <c r="H201" s="522"/>
    </row>
    <row r="202" spans="2:8" ht="57.75" thickBot="1" x14ac:dyDescent="0.3">
      <c r="B202" s="448"/>
      <c r="C202" s="440"/>
      <c r="D202" s="513" t="s">
        <v>24</v>
      </c>
      <c r="E202" s="192" t="s">
        <v>540</v>
      </c>
      <c r="F202" s="235" t="s">
        <v>1595</v>
      </c>
      <c r="G202" s="496" t="s">
        <v>1596</v>
      </c>
      <c r="H202" s="266" t="s">
        <v>1597</v>
      </c>
    </row>
    <row r="203" spans="2:8" ht="266.25" customHeight="1" thickBot="1" x14ac:dyDescent="0.3">
      <c r="B203" s="448"/>
      <c r="C203" s="440"/>
      <c r="D203" s="512"/>
      <c r="E203" s="709" t="s">
        <v>541</v>
      </c>
      <c r="F203" s="246" t="s">
        <v>1599</v>
      </c>
      <c r="G203" s="710" t="s">
        <v>1598</v>
      </c>
      <c r="H203" s="682" t="s">
        <v>542</v>
      </c>
    </row>
    <row r="204" spans="2:8" ht="72" thickBot="1" x14ac:dyDescent="0.3">
      <c r="B204" s="448"/>
      <c r="C204" s="440"/>
      <c r="D204" s="512"/>
      <c r="E204" s="194" t="s">
        <v>543</v>
      </c>
      <c r="F204" s="255" t="s">
        <v>1600</v>
      </c>
      <c r="G204" s="497" t="s">
        <v>1601</v>
      </c>
      <c r="H204" s="403"/>
    </row>
    <row r="205" spans="2:8" ht="29.25" thickBot="1" x14ac:dyDescent="0.3">
      <c r="B205" s="448"/>
      <c r="C205" s="534"/>
      <c r="D205" s="712" t="s">
        <v>25</v>
      </c>
      <c r="E205" s="249" t="s">
        <v>1272</v>
      </c>
      <c r="F205" s="249" t="s">
        <v>1273</v>
      </c>
      <c r="G205" s="557" t="s">
        <v>1605</v>
      </c>
      <c r="H205" s="294" t="s">
        <v>1274</v>
      </c>
    </row>
    <row r="206" spans="2:8" ht="29.25" thickBot="1" x14ac:dyDescent="0.3">
      <c r="B206" s="448"/>
      <c r="C206" s="534"/>
      <c r="D206" s="572"/>
      <c r="E206" s="32" t="s">
        <v>544</v>
      </c>
      <c r="F206" s="32" t="s">
        <v>545</v>
      </c>
      <c r="G206" s="526" t="s">
        <v>546</v>
      </c>
      <c r="H206" s="32" t="s">
        <v>547</v>
      </c>
    </row>
    <row r="207" spans="2:8" ht="29.25" thickBot="1" x14ac:dyDescent="0.3">
      <c r="B207" s="448"/>
      <c r="C207" s="534"/>
      <c r="D207" s="499"/>
      <c r="E207" s="174" t="s">
        <v>548</v>
      </c>
      <c r="F207" s="163" t="s">
        <v>549</v>
      </c>
      <c r="G207" s="157" t="s">
        <v>1606</v>
      </c>
      <c r="H207" s="163" t="s">
        <v>550</v>
      </c>
    </row>
    <row r="208" spans="2:8" ht="29.25" thickBot="1" x14ac:dyDescent="0.3">
      <c r="B208" s="448"/>
      <c r="C208" s="534"/>
      <c r="D208" s="572"/>
      <c r="E208" s="249" t="s">
        <v>1275</v>
      </c>
      <c r="F208" s="249" t="s">
        <v>1276</v>
      </c>
      <c r="G208" s="557" t="s">
        <v>1277</v>
      </c>
      <c r="H208" s="294" t="s">
        <v>550</v>
      </c>
    </row>
    <row r="209" spans="2:8" ht="29.25" thickBot="1" x14ac:dyDescent="0.3">
      <c r="B209" s="448"/>
      <c r="C209" s="534"/>
      <c r="D209" s="572"/>
      <c r="E209" s="35" t="s">
        <v>1278</v>
      </c>
      <c r="F209" s="35" t="s">
        <v>1279</v>
      </c>
      <c r="G209" s="157" t="s">
        <v>1277</v>
      </c>
      <c r="H209" s="35" t="s">
        <v>547</v>
      </c>
    </row>
    <row r="210" spans="2:8" ht="43.5" thickBot="1" x14ac:dyDescent="0.3">
      <c r="B210" s="448"/>
      <c r="C210" s="534"/>
      <c r="D210" s="572"/>
      <c r="E210" s="582" t="s">
        <v>551</v>
      </c>
      <c r="F210" s="200" t="s">
        <v>552</v>
      </c>
      <c r="G210" s="557" t="s">
        <v>1602</v>
      </c>
      <c r="H210" s="201" t="s">
        <v>376</v>
      </c>
    </row>
    <row r="211" spans="2:8" ht="29.25" thickBot="1" x14ac:dyDescent="0.3">
      <c r="B211" s="448"/>
      <c r="C211" s="534"/>
      <c r="D211" s="499"/>
      <c r="E211" s="582" t="s">
        <v>553</v>
      </c>
      <c r="F211" s="200" t="s">
        <v>554</v>
      </c>
      <c r="G211" s="557" t="s">
        <v>1603</v>
      </c>
      <c r="H211" s="201" t="s">
        <v>376</v>
      </c>
    </row>
    <row r="212" spans="2:8" ht="29.25" thickBot="1" x14ac:dyDescent="0.3">
      <c r="B212" s="448"/>
      <c r="C212" s="534"/>
      <c r="D212" s="499"/>
      <c r="E212" s="249" t="s">
        <v>1280</v>
      </c>
      <c r="F212" s="249" t="s">
        <v>1281</v>
      </c>
      <c r="G212" s="708" t="s">
        <v>555</v>
      </c>
      <c r="H212" s="201" t="s">
        <v>376</v>
      </c>
    </row>
    <row r="213" spans="2:8" ht="29.25" thickBot="1" x14ac:dyDescent="0.3">
      <c r="B213" s="448"/>
      <c r="C213" s="534"/>
      <c r="D213" s="572"/>
      <c r="E213" s="507" t="s">
        <v>556</v>
      </c>
      <c r="F213" s="507" t="s">
        <v>557</v>
      </c>
      <c r="G213" s="559" t="s">
        <v>555</v>
      </c>
      <c r="H213" s="507" t="s">
        <v>376</v>
      </c>
    </row>
    <row r="214" spans="2:8" ht="29.25" thickBot="1" x14ac:dyDescent="0.3">
      <c r="B214" s="448"/>
      <c r="C214" s="534"/>
      <c r="D214" s="572"/>
      <c r="E214" s="582" t="s">
        <v>558</v>
      </c>
      <c r="F214" s="200" t="s">
        <v>559</v>
      </c>
      <c r="G214" s="557" t="s">
        <v>1604</v>
      </c>
      <c r="H214" s="201" t="s">
        <v>550</v>
      </c>
    </row>
    <row r="215" spans="2:8" ht="29.25" thickBot="1" x14ac:dyDescent="0.3">
      <c r="B215" s="448"/>
      <c r="C215" s="534"/>
      <c r="D215" s="572"/>
      <c r="E215" s="35" t="s">
        <v>1607</v>
      </c>
      <c r="F215" s="518" t="s">
        <v>1608</v>
      </c>
      <c r="G215" s="711" t="s">
        <v>1609</v>
      </c>
      <c r="H215" s="174" t="s">
        <v>376</v>
      </c>
    </row>
    <row r="216" spans="2:8" ht="29.25" thickBot="1" x14ac:dyDescent="0.3">
      <c r="B216" s="448"/>
      <c r="C216" s="534"/>
      <c r="D216" s="572"/>
      <c r="E216" s="582" t="s">
        <v>560</v>
      </c>
      <c r="F216" s="200" t="s">
        <v>561</v>
      </c>
      <c r="G216" s="557" t="s">
        <v>1609</v>
      </c>
      <c r="H216" s="201" t="s">
        <v>376</v>
      </c>
    </row>
    <row r="217" spans="2:8" ht="29.25" thickBot="1" x14ac:dyDescent="0.3">
      <c r="B217" s="448"/>
      <c r="C217" s="534"/>
      <c r="D217" s="499"/>
      <c r="E217" s="249" t="s">
        <v>1282</v>
      </c>
      <c r="F217" s="249" t="s">
        <v>1283</v>
      </c>
      <c r="G217" s="557" t="s">
        <v>1609</v>
      </c>
      <c r="H217" s="201" t="s">
        <v>376</v>
      </c>
    </row>
    <row r="218" spans="2:8" ht="29.25" thickBot="1" x14ac:dyDescent="0.3">
      <c r="B218" s="448"/>
      <c r="C218" s="534"/>
      <c r="D218" s="572"/>
      <c r="E218" s="174" t="s">
        <v>562</v>
      </c>
      <c r="F218" s="163" t="s">
        <v>563</v>
      </c>
      <c r="G218" s="157" t="s">
        <v>1609</v>
      </c>
      <c r="H218" s="163" t="s">
        <v>376</v>
      </c>
    </row>
    <row r="219" spans="2:8" ht="72" thickBot="1" x14ac:dyDescent="0.3">
      <c r="B219" s="448"/>
      <c r="C219" s="534"/>
      <c r="D219" s="499"/>
      <c r="E219" s="249" t="s">
        <v>1284</v>
      </c>
      <c r="F219" s="249" t="s">
        <v>1610</v>
      </c>
      <c r="G219" s="557" t="s">
        <v>1611</v>
      </c>
      <c r="H219" s="294" t="s">
        <v>1285</v>
      </c>
    </row>
    <row r="220" spans="2:8" ht="30" thickBot="1" x14ac:dyDescent="0.3">
      <c r="B220" s="448"/>
      <c r="C220" s="534"/>
      <c r="D220" s="499"/>
      <c r="E220" s="35" t="s">
        <v>564</v>
      </c>
      <c r="F220" s="35" t="s">
        <v>565</v>
      </c>
      <c r="G220" s="559" t="s">
        <v>566</v>
      </c>
      <c r="H220" s="13"/>
    </row>
    <row r="221" spans="2:8" ht="15.75" thickBot="1" x14ac:dyDescent="0.3">
      <c r="B221" s="448"/>
      <c r="C221" s="534"/>
      <c r="D221" s="931" t="s">
        <v>26</v>
      </c>
      <c r="E221" s="161" t="s">
        <v>22</v>
      </c>
      <c r="F221" s="731" t="s">
        <v>380</v>
      </c>
      <c r="G221" s="739" t="s">
        <v>21</v>
      </c>
      <c r="H221" s="265" t="s">
        <v>934</v>
      </c>
    </row>
    <row r="222" spans="2:8" ht="57.75" thickBot="1" x14ac:dyDescent="0.3">
      <c r="B222" s="448"/>
      <c r="C222" s="534"/>
      <c r="D222" s="932"/>
      <c r="E222" s="235" t="s">
        <v>1286</v>
      </c>
      <c r="F222" s="258" t="s">
        <v>595</v>
      </c>
      <c r="G222" s="333">
        <v>50000</v>
      </c>
      <c r="H222" s="266" t="s">
        <v>445</v>
      </c>
    </row>
    <row r="223" spans="2:8" ht="42.75" x14ac:dyDescent="0.25">
      <c r="B223" s="448"/>
      <c r="C223" s="534"/>
      <c r="D223" s="932"/>
      <c r="E223" s="258" t="s">
        <v>1287</v>
      </c>
      <c r="F223" s="226" t="s">
        <v>388</v>
      </c>
      <c r="G223" s="333">
        <v>5000000</v>
      </c>
      <c r="H223" s="266" t="s">
        <v>601</v>
      </c>
    </row>
    <row r="224" spans="2:8" x14ac:dyDescent="0.25">
      <c r="B224" s="448"/>
      <c r="C224" s="534"/>
      <c r="D224" s="932"/>
      <c r="E224" s="521"/>
      <c r="F224" s="259" t="s">
        <v>389</v>
      </c>
      <c r="G224" s="334">
        <v>10000000</v>
      </c>
      <c r="H224" s="267" t="s">
        <v>376</v>
      </c>
    </row>
    <row r="225" spans="2:8" x14ac:dyDescent="0.25">
      <c r="B225" s="448"/>
      <c r="C225" s="534"/>
      <c r="D225" s="932"/>
      <c r="E225" s="518"/>
      <c r="F225" s="259" t="s">
        <v>567</v>
      </c>
      <c r="G225" s="334">
        <v>80000000</v>
      </c>
      <c r="H225" s="267" t="s">
        <v>376</v>
      </c>
    </row>
    <row r="226" spans="2:8" ht="15.75" thickBot="1" x14ac:dyDescent="0.3">
      <c r="B226" s="448"/>
      <c r="C226" s="534"/>
      <c r="D226" s="932"/>
      <c r="E226" s="521"/>
      <c r="F226" s="259" t="s">
        <v>568</v>
      </c>
      <c r="G226" s="334">
        <v>5000000</v>
      </c>
      <c r="H226" s="267" t="s">
        <v>376</v>
      </c>
    </row>
    <row r="227" spans="2:8" ht="15.75" thickBot="1" x14ac:dyDescent="0.3">
      <c r="B227" s="448"/>
      <c r="C227" s="534"/>
      <c r="D227" s="932"/>
      <c r="E227" s="581" t="s">
        <v>1584</v>
      </c>
      <c r="F227" s="729"/>
      <c r="G227" s="489">
        <f>SUM(G222:G226)</f>
        <v>100050000</v>
      </c>
      <c r="H227" s="297"/>
    </row>
    <row r="228" spans="2:8" ht="43.5" thickBot="1" x14ac:dyDescent="0.3">
      <c r="B228" s="448"/>
      <c r="C228" s="534"/>
      <c r="D228" s="909"/>
      <c r="E228" s="235" t="s">
        <v>1288</v>
      </c>
      <c r="F228" s="258" t="s">
        <v>595</v>
      </c>
      <c r="G228" s="333">
        <v>40000</v>
      </c>
      <c r="H228" s="266" t="s">
        <v>500</v>
      </c>
    </row>
    <row r="229" spans="2:8" ht="57" x14ac:dyDescent="0.25">
      <c r="B229" s="448"/>
      <c r="C229" s="534"/>
      <c r="D229" s="909"/>
      <c r="E229" s="258" t="s">
        <v>1289</v>
      </c>
      <c r="F229" s="732" t="s">
        <v>388</v>
      </c>
      <c r="G229" s="740">
        <v>3000000</v>
      </c>
      <c r="H229" s="736" t="s">
        <v>376</v>
      </c>
    </row>
    <row r="230" spans="2:8" x14ac:dyDescent="0.25">
      <c r="B230" s="448"/>
      <c r="C230" s="534"/>
      <c r="D230" s="909"/>
      <c r="E230" s="518"/>
      <c r="F230" s="733" t="s">
        <v>389</v>
      </c>
      <c r="G230" s="741">
        <v>6000000</v>
      </c>
      <c r="H230" s="737" t="s">
        <v>376</v>
      </c>
    </row>
    <row r="231" spans="2:8" x14ac:dyDescent="0.25">
      <c r="B231" s="448"/>
      <c r="C231" s="534"/>
      <c r="D231" s="909"/>
      <c r="E231" s="521"/>
      <c r="F231" s="733" t="s">
        <v>567</v>
      </c>
      <c r="G231" s="741">
        <v>48000000</v>
      </c>
      <c r="H231" s="737" t="s">
        <v>376</v>
      </c>
    </row>
    <row r="232" spans="2:8" x14ac:dyDescent="0.25">
      <c r="B232" s="448"/>
      <c r="C232" s="534"/>
      <c r="D232" s="909"/>
      <c r="E232" s="521"/>
      <c r="F232" s="733" t="s">
        <v>391</v>
      </c>
      <c r="G232" s="741">
        <v>3000000</v>
      </c>
      <c r="H232" s="737" t="s">
        <v>376</v>
      </c>
    </row>
    <row r="233" spans="2:8" x14ac:dyDescent="0.25">
      <c r="B233" s="448"/>
      <c r="C233" s="534"/>
      <c r="D233" s="909"/>
      <c r="E233" s="521"/>
      <c r="F233" s="733" t="s">
        <v>388</v>
      </c>
      <c r="G233" s="741">
        <v>1600000</v>
      </c>
      <c r="H233" s="737" t="s">
        <v>376</v>
      </c>
    </row>
    <row r="234" spans="2:8" x14ac:dyDescent="0.25">
      <c r="B234" s="448"/>
      <c r="C234" s="534"/>
      <c r="D234" s="909"/>
      <c r="E234" s="521"/>
      <c r="F234" s="733" t="s">
        <v>389</v>
      </c>
      <c r="G234" s="741">
        <v>3200000</v>
      </c>
      <c r="H234" s="737" t="s">
        <v>376</v>
      </c>
    </row>
    <row r="235" spans="2:8" x14ac:dyDescent="0.25">
      <c r="B235" s="448"/>
      <c r="C235" s="534"/>
      <c r="D235" s="909"/>
      <c r="E235" s="521"/>
      <c r="F235" s="733" t="s">
        <v>567</v>
      </c>
      <c r="G235" s="741">
        <v>25580000</v>
      </c>
      <c r="H235" s="737" t="s">
        <v>376</v>
      </c>
    </row>
    <row r="236" spans="2:8" ht="15.75" thickBot="1" x14ac:dyDescent="0.3">
      <c r="B236" s="448"/>
      <c r="C236" s="534"/>
      <c r="D236" s="909"/>
      <c r="E236" s="521"/>
      <c r="F236" s="734" t="s">
        <v>391</v>
      </c>
      <c r="G236" s="742">
        <v>1600000</v>
      </c>
      <c r="H236" s="738" t="s">
        <v>376</v>
      </c>
    </row>
    <row r="237" spans="2:8" ht="15.75" thickBot="1" x14ac:dyDescent="0.3">
      <c r="B237" s="448"/>
      <c r="C237" s="534"/>
      <c r="D237" s="909"/>
      <c r="E237" s="581" t="s">
        <v>1586</v>
      </c>
      <c r="F237" s="735"/>
      <c r="G237" s="489">
        <f>SUM(G228:G236)</f>
        <v>92020000</v>
      </c>
      <c r="H237" s="294" t="s">
        <v>376</v>
      </c>
    </row>
    <row r="238" spans="2:8" ht="29.25" thickBot="1" x14ac:dyDescent="0.3">
      <c r="B238" s="448"/>
      <c r="C238" s="534"/>
      <c r="D238" s="909"/>
      <c r="E238" s="35" t="s">
        <v>571</v>
      </c>
      <c r="F238" s="341" t="s">
        <v>388</v>
      </c>
      <c r="G238" s="730">
        <v>32400000</v>
      </c>
      <c r="H238" s="32" t="s">
        <v>426</v>
      </c>
    </row>
    <row r="239" spans="2:8" ht="114" x14ac:dyDescent="0.25">
      <c r="B239" s="448"/>
      <c r="C239" s="534"/>
      <c r="D239" s="909"/>
      <c r="E239" s="35" t="s">
        <v>1290</v>
      </c>
      <c r="F239" s="518" t="s">
        <v>1291</v>
      </c>
      <c r="G239" s="339">
        <v>64800000</v>
      </c>
      <c r="H239" s="660" t="s">
        <v>376</v>
      </c>
    </row>
    <row r="240" spans="2:8" ht="15.75" thickBot="1" x14ac:dyDescent="0.3">
      <c r="B240" s="448"/>
      <c r="C240" s="534"/>
      <c r="D240" s="909"/>
      <c r="E240" s="13"/>
      <c r="F240" s="341" t="s">
        <v>567</v>
      </c>
      <c r="G240" s="730">
        <v>518400000</v>
      </c>
      <c r="H240" s="32" t="s">
        <v>376</v>
      </c>
    </row>
    <row r="241" spans="2:8" ht="15.75" thickBot="1" x14ac:dyDescent="0.3">
      <c r="B241" s="448"/>
      <c r="C241" s="534"/>
      <c r="D241" s="909"/>
      <c r="E241" s="14"/>
      <c r="F241" s="341" t="s">
        <v>391</v>
      </c>
      <c r="G241" s="730">
        <v>32400000</v>
      </c>
      <c r="H241" s="32" t="s">
        <v>376</v>
      </c>
    </row>
    <row r="242" spans="2:8" ht="15.75" thickBot="1" x14ac:dyDescent="0.3">
      <c r="B242" s="448"/>
      <c r="C242" s="534"/>
      <c r="D242" s="909"/>
      <c r="E242" s="263" t="s">
        <v>572</v>
      </c>
      <c r="F242" s="15"/>
      <c r="G242" s="338">
        <f>SUM(G238:G241)</f>
        <v>648000000</v>
      </c>
      <c r="H242" s="14"/>
    </row>
    <row r="243" spans="2:8" ht="57.75" thickBot="1" x14ac:dyDescent="0.3">
      <c r="B243" s="448"/>
      <c r="C243" s="534"/>
      <c r="D243" s="909"/>
      <c r="E243" s="32" t="s">
        <v>1292</v>
      </c>
      <c r="F243" s="341" t="s">
        <v>388</v>
      </c>
      <c r="G243" s="730">
        <v>3000000</v>
      </c>
      <c r="H243" s="32" t="s">
        <v>426</v>
      </c>
    </row>
    <row r="244" spans="2:8" x14ac:dyDescent="0.25">
      <c r="B244" s="448"/>
      <c r="C244" s="534"/>
      <c r="D244" s="909"/>
      <c r="E244" s="35"/>
      <c r="F244" s="518" t="s">
        <v>389</v>
      </c>
      <c r="G244" s="339">
        <v>6000000</v>
      </c>
      <c r="H244" s="174" t="s">
        <v>376</v>
      </c>
    </row>
    <row r="245" spans="2:8" ht="15.75" thickBot="1" x14ac:dyDescent="0.3">
      <c r="B245" s="448"/>
      <c r="C245" s="534"/>
      <c r="D245" s="909"/>
      <c r="E245" s="13"/>
      <c r="F245" s="341" t="s">
        <v>567</v>
      </c>
      <c r="G245" s="730">
        <v>48000000</v>
      </c>
      <c r="H245" s="32" t="s">
        <v>376</v>
      </c>
    </row>
    <row r="246" spans="2:8" ht="15.75" thickBot="1" x14ac:dyDescent="0.3">
      <c r="B246" s="448"/>
      <c r="C246" s="534"/>
      <c r="D246" s="909"/>
      <c r="E246" s="14"/>
      <c r="F246" s="341" t="s">
        <v>391</v>
      </c>
      <c r="G246" s="730">
        <v>3000000</v>
      </c>
      <c r="H246" s="32" t="s">
        <v>376</v>
      </c>
    </row>
    <row r="247" spans="2:8" ht="15.75" thickBot="1" x14ac:dyDescent="0.3">
      <c r="B247" s="448"/>
      <c r="C247" s="534"/>
      <c r="D247" s="909"/>
      <c r="E247" s="263" t="s">
        <v>573</v>
      </c>
      <c r="F247" s="15"/>
      <c r="G247" s="336">
        <f>SUM(G243:G246)</f>
        <v>60000000</v>
      </c>
      <c r="H247" s="14"/>
    </row>
    <row r="248" spans="2:8" ht="29.25" thickBot="1" x14ac:dyDescent="0.3">
      <c r="B248" s="448"/>
      <c r="C248" s="534"/>
      <c r="D248" s="909"/>
      <c r="E248" s="35" t="s">
        <v>574</v>
      </c>
      <c r="F248" s="32" t="s">
        <v>388</v>
      </c>
      <c r="G248" s="186">
        <v>300000</v>
      </c>
      <c r="H248" s="32" t="s">
        <v>426</v>
      </c>
    </row>
    <row r="249" spans="2:8" ht="43.5" thickBot="1" x14ac:dyDescent="0.3">
      <c r="B249" s="448"/>
      <c r="C249" s="534"/>
      <c r="D249" s="909"/>
      <c r="E249" s="35" t="s">
        <v>575</v>
      </c>
      <c r="F249" s="32" t="s">
        <v>567</v>
      </c>
      <c r="G249" s="186">
        <v>5400000</v>
      </c>
      <c r="H249" s="32" t="s">
        <v>376</v>
      </c>
    </row>
    <row r="250" spans="2:8" ht="15.75" thickBot="1" x14ac:dyDescent="0.3">
      <c r="B250" s="448"/>
      <c r="C250" s="534"/>
      <c r="D250" s="909"/>
      <c r="E250" s="14"/>
      <c r="F250" s="32" t="s">
        <v>576</v>
      </c>
      <c r="G250" s="186">
        <v>300000</v>
      </c>
      <c r="H250" s="32" t="s">
        <v>376</v>
      </c>
    </row>
    <row r="251" spans="2:8" ht="15.75" thickBot="1" x14ac:dyDescent="0.3">
      <c r="B251" s="448"/>
      <c r="C251" s="534"/>
      <c r="D251" s="909"/>
      <c r="E251" s="263" t="s">
        <v>577</v>
      </c>
      <c r="F251" s="14"/>
      <c r="G251" s="185">
        <f>SUM(G248:G250)</f>
        <v>6000000</v>
      </c>
      <c r="H251" s="32" t="s">
        <v>376</v>
      </c>
    </row>
    <row r="252" spans="2:8" ht="30" thickBot="1" x14ac:dyDescent="0.3">
      <c r="B252" s="448"/>
      <c r="C252" s="534"/>
      <c r="D252" s="909"/>
      <c r="E252" s="35" t="s">
        <v>578</v>
      </c>
      <c r="F252" s="32" t="s">
        <v>388</v>
      </c>
      <c r="G252" s="186">
        <v>2000000</v>
      </c>
      <c r="H252" s="32" t="s">
        <v>467</v>
      </c>
    </row>
    <row r="253" spans="2:8" ht="72" thickBot="1" x14ac:dyDescent="0.3">
      <c r="B253" s="448"/>
      <c r="C253" s="534"/>
      <c r="D253" s="909"/>
      <c r="E253" s="35" t="s">
        <v>579</v>
      </c>
      <c r="F253" s="32" t="s">
        <v>567</v>
      </c>
      <c r="G253" s="186">
        <v>17000000</v>
      </c>
      <c r="H253" s="32" t="s">
        <v>376</v>
      </c>
    </row>
    <row r="254" spans="2:8" ht="15.75" thickBot="1" x14ac:dyDescent="0.3">
      <c r="B254" s="448"/>
      <c r="C254" s="534"/>
      <c r="D254" s="909"/>
      <c r="E254" s="14"/>
      <c r="F254" s="32" t="s">
        <v>576</v>
      </c>
      <c r="G254" s="186">
        <v>1000000</v>
      </c>
      <c r="H254" s="32" t="s">
        <v>376</v>
      </c>
    </row>
    <row r="255" spans="2:8" ht="15.75" thickBot="1" x14ac:dyDescent="0.3">
      <c r="B255" s="448"/>
      <c r="C255" s="534"/>
      <c r="D255" s="909"/>
      <c r="E255" s="263" t="s">
        <v>580</v>
      </c>
      <c r="F255" s="14"/>
      <c r="G255" s="185">
        <f>SUM(G252:G254)</f>
        <v>20000000</v>
      </c>
      <c r="H255" s="14"/>
    </row>
    <row r="256" spans="2:8" ht="28.5" x14ac:dyDescent="0.25">
      <c r="B256" s="448"/>
      <c r="C256" s="534"/>
      <c r="D256" s="909"/>
      <c r="E256" s="35" t="s">
        <v>1293</v>
      </c>
      <c r="F256" s="163" t="s">
        <v>529</v>
      </c>
      <c r="G256" s="364">
        <v>50000</v>
      </c>
      <c r="H256" s="35" t="s">
        <v>426</v>
      </c>
    </row>
    <row r="257" spans="2:8" ht="15.75" thickBot="1" x14ac:dyDescent="0.3">
      <c r="B257" s="448"/>
      <c r="C257" s="534"/>
      <c r="D257" s="909"/>
      <c r="E257" s="14"/>
      <c r="F257" s="32" t="s">
        <v>567</v>
      </c>
      <c r="G257" s="186">
        <v>950000</v>
      </c>
      <c r="H257" s="32" t="s">
        <v>376</v>
      </c>
    </row>
    <row r="258" spans="2:8" ht="15.75" thickBot="1" x14ac:dyDescent="0.3">
      <c r="B258" s="448"/>
      <c r="C258" s="534"/>
      <c r="D258" s="909"/>
      <c r="E258" s="263" t="s">
        <v>581</v>
      </c>
      <c r="F258" s="14"/>
      <c r="G258" s="185">
        <f>SUM(G256:G257)</f>
        <v>1000000</v>
      </c>
      <c r="H258" s="14"/>
    </row>
    <row r="259" spans="2:8" ht="15.75" thickBot="1" x14ac:dyDescent="0.3">
      <c r="B259" s="448"/>
      <c r="C259" s="534"/>
      <c r="D259" s="909"/>
      <c r="E259" s="32" t="s">
        <v>582</v>
      </c>
      <c r="F259" s="32" t="s">
        <v>388</v>
      </c>
      <c r="G259" s="186">
        <v>500000</v>
      </c>
      <c r="H259" s="32" t="s">
        <v>426</v>
      </c>
    </row>
    <row r="260" spans="2:8" ht="28.5" x14ac:dyDescent="0.25">
      <c r="B260" s="448"/>
      <c r="C260" s="534"/>
      <c r="D260" s="909"/>
      <c r="E260" s="250" t="s">
        <v>1294</v>
      </c>
      <c r="F260" s="250" t="s">
        <v>389</v>
      </c>
      <c r="G260" s="364">
        <v>1000000</v>
      </c>
      <c r="H260" s="163" t="s">
        <v>376</v>
      </c>
    </row>
    <row r="261" spans="2:8" ht="15.75" thickBot="1" x14ac:dyDescent="0.3">
      <c r="B261" s="448"/>
      <c r="C261" s="534"/>
      <c r="D261" s="909"/>
      <c r="E261" s="13"/>
      <c r="F261" s="32" t="s">
        <v>567</v>
      </c>
      <c r="G261" s="186">
        <v>8000000</v>
      </c>
      <c r="H261" s="32" t="s">
        <v>376</v>
      </c>
    </row>
    <row r="262" spans="2:8" ht="15.75" thickBot="1" x14ac:dyDescent="0.3">
      <c r="B262" s="448"/>
      <c r="C262" s="534"/>
      <c r="D262" s="909"/>
      <c r="E262" s="14"/>
      <c r="F262" s="32" t="s">
        <v>391</v>
      </c>
      <c r="G262" s="186">
        <v>500000</v>
      </c>
      <c r="H262" s="32" t="s">
        <v>376</v>
      </c>
    </row>
    <row r="263" spans="2:8" ht="15.75" thickBot="1" x14ac:dyDescent="0.3">
      <c r="B263" s="448"/>
      <c r="C263" s="534"/>
      <c r="D263" s="909"/>
      <c r="E263" s="263" t="s">
        <v>583</v>
      </c>
      <c r="F263" s="14"/>
      <c r="G263" s="185">
        <f>SUM(G259:G262)</f>
        <v>10000000</v>
      </c>
      <c r="H263" s="14"/>
    </row>
    <row r="264" spans="2:8" ht="42.75" x14ac:dyDescent="0.25">
      <c r="B264" s="448"/>
      <c r="C264" s="534"/>
      <c r="D264" s="909"/>
      <c r="E264" s="35" t="s">
        <v>1295</v>
      </c>
      <c r="F264" s="163" t="s">
        <v>529</v>
      </c>
      <c r="G264" s="364">
        <v>200000</v>
      </c>
      <c r="H264" s="35" t="s">
        <v>426</v>
      </c>
    </row>
    <row r="265" spans="2:8" ht="15.75" thickBot="1" x14ac:dyDescent="0.3">
      <c r="B265" s="448"/>
      <c r="C265" s="534"/>
      <c r="D265" s="909"/>
      <c r="E265" s="13"/>
      <c r="F265" s="32" t="s">
        <v>567</v>
      </c>
      <c r="G265" s="186">
        <v>3600000</v>
      </c>
      <c r="H265" s="32" t="s">
        <v>376</v>
      </c>
    </row>
    <row r="266" spans="2:8" ht="15.75" thickBot="1" x14ac:dyDescent="0.3">
      <c r="B266" s="448"/>
      <c r="C266" s="534"/>
      <c r="D266" s="909"/>
      <c r="E266" s="13"/>
      <c r="F266" s="35" t="s">
        <v>1296</v>
      </c>
      <c r="G266" s="364">
        <v>200000</v>
      </c>
      <c r="H266" s="163" t="s">
        <v>376</v>
      </c>
    </row>
    <row r="267" spans="2:8" ht="15.75" thickBot="1" x14ac:dyDescent="0.3">
      <c r="B267" s="448"/>
      <c r="C267" s="534"/>
      <c r="D267" s="909"/>
      <c r="E267" s="455" t="s">
        <v>584</v>
      </c>
      <c r="F267" s="254"/>
      <c r="G267" s="576">
        <f>SUM(G264:G266)</f>
        <v>4000000</v>
      </c>
      <c r="H267" s="297"/>
    </row>
    <row r="268" spans="2:8" ht="43.5" thickBot="1" x14ac:dyDescent="0.3">
      <c r="B268" s="448"/>
      <c r="C268" s="534"/>
      <c r="D268" s="909"/>
      <c r="E268" s="35" t="s">
        <v>1297</v>
      </c>
      <c r="F268" s="32" t="s">
        <v>388</v>
      </c>
      <c r="G268" s="186">
        <v>1250000</v>
      </c>
      <c r="H268" s="32" t="s">
        <v>426</v>
      </c>
    </row>
    <row r="269" spans="2:8" x14ac:dyDescent="0.25">
      <c r="B269" s="448"/>
      <c r="C269" s="534"/>
      <c r="D269" s="909"/>
      <c r="E269" s="35"/>
      <c r="F269" s="35" t="s">
        <v>389</v>
      </c>
      <c r="G269" s="364">
        <v>2500000</v>
      </c>
      <c r="H269" s="163" t="s">
        <v>376</v>
      </c>
    </row>
    <row r="270" spans="2:8" ht="15.75" thickBot="1" x14ac:dyDescent="0.3">
      <c r="B270" s="448"/>
      <c r="C270" s="534"/>
      <c r="D270" s="909"/>
      <c r="E270" s="13"/>
      <c r="F270" s="32" t="s">
        <v>567</v>
      </c>
      <c r="G270" s="186">
        <v>20000000</v>
      </c>
      <c r="H270" s="32" t="s">
        <v>376</v>
      </c>
    </row>
    <row r="271" spans="2:8" ht="15.75" thickBot="1" x14ac:dyDescent="0.3">
      <c r="B271" s="448"/>
      <c r="C271" s="534"/>
      <c r="D271" s="909"/>
      <c r="E271" s="14"/>
      <c r="F271" s="32" t="s">
        <v>391</v>
      </c>
      <c r="G271" s="186">
        <v>1250000</v>
      </c>
      <c r="H271" s="32" t="s">
        <v>376</v>
      </c>
    </row>
    <row r="272" spans="2:8" ht="15.75" thickBot="1" x14ac:dyDescent="0.3">
      <c r="B272" s="448"/>
      <c r="C272" s="534"/>
      <c r="D272" s="909"/>
      <c r="E272" s="263" t="s">
        <v>585</v>
      </c>
      <c r="F272" s="14"/>
      <c r="G272" s="185">
        <f>SUM(G268:G271)</f>
        <v>25000000</v>
      </c>
      <c r="H272" s="14"/>
    </row>
    <row r="273" spans="2:8" x14ac:dyDescent="0.25">
      <c r="B273" s="448"/>
      <c r="C273" s="534"/>
      <c r="D273" s="909"/>
      <c r="E273" s="27" t="s">
        <v>586</v>
      </c>
      <c r="F273" s="916" t="s">
        <v>388</v>
      </c>
      <c r="G273" s="929">
        <v>450000</v>
      </c>
      <c r="H273" s="35" t="s">
        <v>403</v>
      </c>
    </row>
    <row r="274" spans="2:8" ht="58.5" thickBot="1" x14ac:dyDescent="0.3">
      <c r="B274" s="448"/>
      <c r="C274" s="534"/>
      <c r="D274" s="909"/>
      <c r="E274" s="35" t="s">
        <v>587</v>
      </c>
      <c r="F274" s="913"/>
      <c r="G274" s="930"/>
      <c r="H274" s="32" t="s">
        <v>404</v>
      </c>
    </row>
    <row r="275" spans="2:8" ht="15.75" thickBot="1" x14ac:dyDescent="0.3">
      <c r="B275" s="448"/>
      <c r="C275" s="534"/>
      <c r="D275" s="909"/>
      <c r="E275" s="13"/>
      <c r="F275" s="32" t="s">
        <v>389</v>
      </c>
      <c r="G275" s="186" t="s">
        <v>588</v>
      </c>
      <c r="H275" s="32" t="s">
        <v>376</v>
      </c>
    </row>
    <row r="276" spans="2:8" x14ac:dyDescent="0.25">
      <c r="B276" s="448"/>
      <c r="C276" s="534"/>
      <c r="D276" s="909"/>
      <c r="E276" s="13"/>
      <c r="F276" s="35" t="s">
        <v>567</v>
      </c>
      <c r="G276" s="364">
        <v>7200000</v>
      </c>
      <c r="H276" s="163" t="s">
        <v>376</v>
      </c>
    </row>
    <row r="277" spans="2:8" ht="15.75" thickBot="1" x14ac:dyDescent="0.3">
      <c r="B277" s="448"/>
      <c r="C277" s="534"/>
      <c r="D277" s="909"/>
      <c r="E277" s="14"/>
      <c r="F277" s="32" t="s">
        <v>391</v>
      </c>
      <c r="G277" s="186">
        <v>450000</v>
      </c>
      <c r="H277" s="32" t="s">
        <v>376</v>
      </c>
    </row>
    <row r="278" spans="2:8" ht="15.75" thickBot="1" x14ac:dyDescent="0.3">
      <c r="B278" s="448"/>
      <c r="C278" s="534"/>
      <c r="D278" s="909"/>
      <c r="E278" s="263" t="s">
        <v>591</v>
      </c>
      <c r="F278" s="14"/>
      <c r="G278" s="185">
        <f>SUM(G273:G277)</f>
        <v>8100000</v>
      </c>
      <c r="H278" s="14"/>
    </row>
    <row r="279" spans="2:8" ht="29.25" thickBot="1" x14ac:dyDescent="0.3">
      <c r="B279" s="448"/>
      <c r="C279" s="534"/>
      <c r="D279" s="909"/>
      <c r="E279" s="32" t="s">
        <v>592</v>
      </c>
      <c r="F279" s="32" t="s">
        <v>529</v>
      </c>
      <c r="G279" s="186">
        <v>30000</v>
      </c>
      <c r="H279" s="32" t="s">
        <v>467</v>
      </c>
    </row>
    <row r="280" spans="2:8" ht="44.25" thickBot="1" x14ac:dyDescent="0.3">
      <c r="B280" s="448"/>
      <c r="C280" s="534"/>
      <c r="D280" s="909"/>
      <c r="E280" s="250" t="s">
        <v>1298</v>
      </c>
      <c r="F280" s="250" t="s">
        <v>567</v>
      </c>
      <c r="G280" s="364">
        <v>270000</v>
      </c>
      <c r="H280" s="163" t="s">
        <v>376</v>
      </c>
    </row>
    <row r="281" spans="2:8" ht="15.75" thickBot="1" x14ac:dyDescent="0.3">
      <c r="B281" s="448"/>
      <c r="C281" s="534"/>
      <c r="D281" s="909"/>
      <c r="E281" s="455" t="s">
        <v>593</v>
      </c>
      <c r="F281" s="254"/>
      <c r="G281" s="576">
        <f>SUM(G279:G280)</f>
        <v>300000</v>
      </c>
      <c r="H281" s="297"/>
    </row>
    <row r="282" spans="2:8" ht="87" thickBot="1" x14ac:dyDescent="0.3">
      <c r="B282" s="448"/>
      <c r="C282" s="534"/>
      <c r="D282" s="909"/>
      <c r="E282" s="35" t="s">
        <v>1299</v>
      </c>
      <c r="F282" s="32" t="s">
        <v>388</v>
      </c>
      <c r="G282" s="658">
        <v>4500000</v>
      </c>
      <c r="H282" s="32" t="s">
        <v>426</v>
      </c>
    </row>
    <row r="283" spans="2:8" ht="15.75" thickBot="1" x14ac:dyDescent="0.3">
      <c r="B283" s="448"/>
      <c r="C283" s="534"/>
      <c r="D283" s="909"/>
      <c r="E283" s="35"/>
      <c r="F283" s="32" t="s">
        <v>389</v>
      </c>
      <c r="G283" s="658">
        <v>9000000</v>
      </c>
      <c r="H283" s="32" t="s">
        <v>376</v>
      </c>
    </row>
    <row r="284" spans="2:8" x14ac:dyDescent="0.25">
      <c r="B284" s="448"/>
      <c r="C284" s="534"/>
      <c r="D284" s="909"/>
      <c r="E284" s="13"/>
      <c r="F284" s="35" t="s">
        <v>589</v>
      </c>
      <c r="G284" s="929">
        <v>72000000</v>
      </c>
      <c r="H284" s="916" t="s">
        <v>376</v>
      </c>
    </row>
    <row r="285" spans="2:8" ht="15.75" thickBot="1" x14ac:dyDescent="0.3">
      <c r="B285" s="448"/>
      <c r="C285" s="534"/>
      <c r="D285" s="909"/>
      <c r="E285" s="13"/>
      <c r="F285" s="32" t="s">
        <v>590</v>
      </c>
      <c r="G285" s="930"/>
      <c r="H285" s="913"/>
    </row>
    <row r="286" spans="2:8" ht="15.75" thickBot="1" x14ac:dyDescent="0.3">
      <c r="B286" s="448"/>
      <c r="C286" s="534"/>
      <c r="D286" s="909"/>
      <c r="E286" s="14"/>
      <c r="F286" s="32" t="s">
        <v>391</v>
      </c>
      <c r="G286" s="658">
        <v>4500000</v>
      </c>
      <c r="H286" s="32" t="s">
        <v>376</v>
      </c>
    </row>
    <row r="287" spans="2:8" ht="15.75" thickBot="1" x14ac:dyDescent="0.3">
      <c r="B287" s="448"/>
      <c r="C287" s="534"/>
      <c r="D287" s="909"/>
      <c r="E287" s="206" t="s">
        <v>594</v>
      </c>
      <c r="F287" s="13"/>
      <c r="G287" s="187">
        <f>SUM(G282:G286)</f>
        <v>90000000</v>
      </c>
      <c r="H287" s="13"/>
    </row>
    <row r="288" spans="2:8" ht="157.5" thickBot="1" x14ac:dyDescent="0.3">
      <c r="B288" s="448"/>
      <c r="C288" s="534"/>
      <c r="D288" s="909"/>
      <c r="E288" s="235" t="s">
        <v>1300</v>
      </c>
      <c r="F288" s="193" t="s">
        <v>595</v>
      </c>
      <c r="G288" s="204">
        <v>50000</v>
      </c>
      <c r="H288" s="202" t="s">
        <v>596</v>
      </c>
    </row>
    <row r="289" spans="2:8" ht="72" x14ac:dyDescent="0.25">
      <c r="B289" s="448"/>
      <c r="C289" s="534"/>
      <c r="D289" s="909"/>
      <c r="E289" s="344" t="s">
        <v>1301</v>
      </c>
      <c r="F289" s="258" t="s">
        <v>529</v>
      </c>
      <c r="G289" s="333">
        <v>50000</v>
      </c>
      <c r="H289" s="266" t="s">
        <v>426</v>
      </c>
    </row>
    <row r="290" spans="2:8" x14ac:dyDescent="0.25">
      <c r="B290" s="448"/>
      <c r="C290" s="534"/>
      <c r="D290" s="909"/>
      <c r="E290" s="518"/>
      <c r="F290" s="259" t="s">
        <v>567</v>
      </c>
      <c r="G290" s="334">
        <v>1900000</v>
      </c>
      <c r="H290" s="267" t="s">
        <v>376</v>
      </c>
    </row>
    <row r="291" spans="2:8" ht="15.75" thickBot="1" x14ac:dyDescent="0.3">
      <c r="B291" s="448"/>
      <c r="C291" s="534"/>
      <c r="D291" s="909"/>
      <c r="E291" s="518"/>
      <c r="F291" s="259" t="s">
        <v>597</v>
      </c>
      <c r="G291" s="334">
        <v>50000</v>
      </c>
      <c r="H291" s="267" t="s">
        <v>376</v>
      </c>
    </row>
    <row r="292" spans="2:8" ht="15.75" thickBot="1" x14ac:dyDescent="0.3">
      <c r="B292" s="448"/>
      <c r="C292" s="534"/>
      <c r="D292" s="909"/>
      <c r="E292" s="581" t="s">
        <v>598</v>
      </c>
      <c r="F292" s="729"/>
      <c r="G292" s="489">
        <f>SUM(G288:G291)</f>
        <v>2050000</v>
      </c>
      <c r="H292" s="297"/>
    </row>
    <row r="293" spans="2:8" ht="15.75" thickBot="1" x14ac:dyDescent="0.3">
      <c r="B293" s="448"/>
      <c r="C293" s="534"/>
      <c r="D293" s="909"/>
      <c r="E293" s="35" t="s">
        <v>599</v>
      </c>
      <c r="F293" s="341" t="s">
        <v>388</v>
      </c>
      <c r="G293" s="730">
        <v>1000000</v>
      </c>
      <c r="H293" s="32" t="s">
        <v>601</v>
      </c>
    </row>
    <row r="294" spans="2:8" ht="29.25" thickBot="1" x14ac:dyDescent="0.3">
      <c r="B294" s="448"/>
      <c r="C294" s="534"/>
      <c r="D294" s="909"/>
      <c r="E294" s="35" t="s">
        <v>600</v>
      </c>
      <c r="F294" s="341" t="s">
        <v>389</v>
      </c>
      <c r="G294" s="730">
        <v>2000000</v>
      </c>
      <c r="H294" s="32" t="s">
        <v>376</v>
      </c>
    </row>
    <row r="295" spans="2:8" x14ac:dyDescent="0.25">
      <c r="B295" s="448"/>
      <c r="C295" s="534"/>
      <c r="D295" s="909"/>
      <c r="E295" s="13"/>
      <c r="F295" s="518" t="s">
        <v>567</v>
      </c>
      <c r="G295" s="339" t="s">
        <v>20</v>
      </c>
      <c r="H295" s="174" t="s">
        <v>376</v>
      </c>
    </row>
    <row r="296" spans="2:8" ht="15.75" thickBot="1" x14ac:dyDescent="0.3">
      <c r="B296" s="448"/>
      <c r="C296" s="534"/>
      <c r="D296" s="909"/>
      <c r="E296" s="14"/>
      <c r="F296" s="341" t="s">
        <v>568</v>
      </c>
      <c r="G296" s="730">
        <v>1000000</v>
      </c>
      <c r="H296" s="32" t="s">
        <v>376</v>
      </c>
    </row>
    <row r="297" spans="2:8" ht="15.75" thickBot="1" x14ac:dyDescent="0.3">
      <c r="B297" s="448"/>
      <c r="C297" s="534"/>
      <c r="D297" s="915"/>
      <c r="E297" s="263" t="s">
        <v>602</v>
      </c>
      <c r="F297" s="15"/>
      <c r="G297" s="338">
        <f>SUM(G296)+G293+G294</f>
        <v>4000000</v>
      </c>
      <c r="H297" s="14"/>
    </row>
    <row r="298" spans="2:8" ht="15.75" thickBot="1" x14ac:dyDescent="0.3">
      <c r="B298" s="448"/>
      <c r="C298" s="440"/>
      <c r="D298" s="783" t="s">
        <v>603</v>
      </c>
      <c r="E298" s="784"/>
      <c r="F298" s="784"/>
      <c r="G298" s="785">
        <f>G297+G292+G287+G281+G278+G272+G267+G263+G258+G255+G251+G247+G242+G237+G227</f>
        <v>1070520000</v>
      </c>
      <c r="H298" s="14"/>
    </row>
    <row r="299" spans="2:8" ht="15.75" thickBot="1" x14ac:dyDescent="0.3">
      <c r="B299" s="443" t="s">
        <v>1197</v>
      </c>
      <c r="C299" s="443" t="s">
        <v>1180</v>
      </c>
      <c r="D299" s="406"/>
      <c r="E299" s="183" t="s">
        <v>22</v>
      </c>
      <c r="F299" s="231" t="s">
        <v>27</v>
      </c>
      <c r="G299" s="326" t="s">
        <v>362</v>
      </c>
      <c r="H299" s="265" t="s">
        <v>1175</v>
      </c>
    </row>
    <row r="300" spans="2:8" ht="29.25" thickBot="1" x14ac:dyDescent="0.3">
      <c r="B300" s="448" t="s">
        <v>1356</v>
      </c>
      <c r="C300" s="440"/>
      <c r="D300" s="367" t="s">
        <v>23</v>
      </c>
      <c r="E300" s="35" t="s">
        <v>604</v>
      </c>
      <c r="F300" s="13"/>
      <c r="G300" s="472"/>
      <c r="H300" s="13"/>
    </row>
    <row r="301" spans="2:8" ht="45.75" thickBot="1" x14ac:dyDescent="0.3">
      <c r="B301" s="448"/>
      <c r="C301" s="440" t="s">
        <v>1357</v>
      </c>
      <c r="D301" s="408" t="s">
        <v>24</v>
      </c>
      <c r="E301" s="293" t="s">
        <v>1305</v>
      </c>
      <c r="F301" s="249" t="s">
        <v>1304</v>
      </c>
      <c r="G301" s="695" t="s">
        <v>1612</v>
      </c>
      <c r="H301" s="294" t="s">
        <v>550</v>
      </c>
    </row>
    <row r="302" spans="2:8" ht="43.5" thickBot="1" x14ac:dyDescent="0.3">
      <c r="B302" s="448"/>
      <c r="C302" s="440"/>
      <c r="D302" s="661"/>
      <c r="E302" s="532" t="s">
        <v>605</v>
      </c>
      <c r="F302" s="200" t="s">
        <v>606</v>
      </c>
      <c r="G302" s="557" t="s">
        <v>1613</v>
      </c>
      <c r="H302" s="201" t="s">
        <v>550</v>
      </c>
    </row>
    <row r="303" spans="2:8" ht="100.5" thickBot="1" x14ac:dyDescent="0.3">
      <c r="B303" s="448"/>
      <c r="C303" s="440"/>
      <c r="D303" s="415"/>
      <c r="E303" s="532" t="s">
        <v>607</v>
      </c>
      <c r="F303" s="249" t="s">
        <v>1614</v>
      </c>
      <c r="G303" s="557" t="s">
        <v>1615</v>
      </c>
      <c r="H303" s="201" t="s">
        <v>550</v>
      </c>
    </row>
    <row r="304" spans="2:8" ht="29.25" thickBot="1" x14ac:dyDescent="0.3">
      <c r="B304" s="448"/>
      <c r="C304" s="440"/>
      <c r="D304" s="415"/>
      <c r="E304" s="293" t="s">
        <v>1306</v>
      </c>
      <c r="F304" s="249" t="s">
        <v>1307</v>
      </c>
      <c r="G304" s="743" t="s">
        <v>608</v>
      </c>
      <c r="H304" s="294" t="s">
        <v>550</v>
      </c>
    </row>
    <row r="305" spans="2:8" ht="43.5" thickBot="1" x14ac:dyDescent="0.3">
      <c r="B305" s="448"/>
      <c r="C305" s="440"/>
      <c r="D305" s="937"/>
      <c r="E305" s="32" t="s">
        <v>609</v>
      </c>
      <c r="F305" s="32" t="s">
        <v>610</v>
      </c>
      <c r="G305" s="212" t="s">
        <v>611</v>
      </c>
      <c r="H305" s="32" t="s">
        <v>550</v>
      </c>
    </row>
    <row r="306" spans="2:8" ht="29.25" thickBot="1" x14ac:dyDescent="0.3">
      <c r="B306" s="448"/>
      <c r="C306" s="440"/>
      <c r="D306" s="895"/>
      <c r="E306" s="32" t="s">
        <v>1308</v>
      </c>
      <c r="F306" s="32" t="s">
        <v>612</v>
      </c>
      <c r="G306" s="212" t="s">
        <v>613</v>
      </c>
      <c r="H306" s="32" t="s">
        <v>550</v>
      </c>
    </row>
    <row r="307" spans="2:8" ht="29.25" thickBot="1" x14ac:dyDescent="0.3">
      <c r="B307" s="448"/>
      <c r="C307" s="440"/>
      <c r="D307" s="429"/>
      <c r="E307" s="32" t="s">
        <v>614</v>
      </c>
      <c r="F307" s="32" t="s">
        <v>615</v>
      </c>
      <c r="G307" s="212" t="s">
        <v>616</v>
      </c>
      <c r="H307" s="14"/>
    </row>
    <row r="308" spans="2:8" ht="25.5" customHeight="1" thickBot="1" x14ac:dyDescent="0.3">
      <c r="B308" s="448"/>
      <c r="C308" s="440"/>
      <c r="D308" s="19"/>
      <c r="E308" s="32" t="s">
        <v>617</v>
      </c>
      <c r="F308" s="32" t="s">
        <v>618</v>
      </c>
      <c r="G308" s="212" t="s">
        <v>619</v>
      </c>
      <c r="H308" s="32" t="s">
        <v>547</v>
      </c>
    </row>
    <row r="309" spans="2:8" x14ac:dyDescent="0.25">
      <c r="B309" s="448"/>
      <c r="C309" s="440"/>
      <c r="D309" s="408" t="s">
        <v>25</v>
      </c>
      <c r="E309" s="916" t="s">
        <v>620</v>
      </c>
      <c r="F309" s="916" t="s">
        <v>621</v>
      </c>
      <c r="G309" s="157" t="s">
        <v>622</v>
      </c>
      <c r="H309" s="916" t="s">
        <v>624</v>
      </c>
    </row>
    <row r="310" spans="2:8" ht="15.75" thickBot="1" x14ac:dyDescent="0.3">
      <c r="B310" s="448"/>
      <c r="C310" s="440"/>
      <c r="D310" s="409"/>
      <c r="E310" s="912"/>
      <c r="F310" s="912"/>
      <c r="G310" s="157" t="s">
        <v>623</v>
      </c>
      <c r="H310" s="912"/>
    </row>
    <row r="311" spans="2:8" ht="30.75" customHeight="1" thickBot="1" x14ac:dyDescent="0.3">
      <c r="B311" s="448"/>
      <c r="C311" s="440"/>
      <c r="D311" s="415"/>
      <c r="E311" s="293" t="s">
        <v>1309</v>
      </c>
      <c r="F311" s="249" t="s">
        <v>1310</v>
      </c>
      <c r="G311" s="557" t="s">
        <v>1616</v>
      </c>
      <c r="H311" s="230"/>
    </row>
    <row r="312" spans="2:8" ht="15.75" thickBot="1" x14ac:dyDescent="0.3">
      <c r="B312" s="448"/>
      <c r="C312" s="440"/>
      <c r="D312" s="430" t="s">
        <v>26</v>
      </c>
      <c r="E312" s="113"/>
      <c r="F312" s="162" t="s">
        <v>64</v>
      </c>
      <c r="G312" s="494" t="s">
        <v>21</v>
      </c>
      <c r="H312" s="265" t="s">
        <v>934</v>
      </c>
    </row>
    <row r="313" spans="2:8" ht="29.25" thickBot="1" x14ac:dyDescent="0.3">
      <c r="B313" s="448"/>
      <c r="C313" s="440"/>
      <c r="D313" s="431"/>
      <c r="E313" s="174" t="s">
        <v>625</v>
      </c>
      <c r="F313" s="32" t="s">
        <v>388</v>
      </c>
      <c r="G313" s="186">
        <v>5250000</v>
      </c>
      <c r="H313" s="32" t="s">
        <v>550</v>
      </c>
    </row>
    <row r="314" spans="2:8" x14ac:dyDescent="0.25">
      <c r="B314" s="448"/>
      <c r="C314" s="440"/>
      <c r="D314" s="431"/>
      <c r="E314" s="9"/>
      <c r="F314" s="35" t="s">
        <v>389</v>
      </c>
      <c r="G314" s="364">
        <v>10500000</v>
      </c>
      <c r="H314" s="163" t="s">
        <v>376</v>
      </c>
    </row>
    <row r="315" spans="2:8" ht="15.75" thickBot="1" x14ac:dyDescent="0.3">
      <c r="B315" s="448"/>
      <c r="C315" s="440"/>
      <c r="D315" s="431"/>
      <c r="E315" s="9"/>
      <c r="F315" s="32" t="s">
        <v>533</v>
      </c>
      <c r="G315" s="186">
        <v>84000000</v>
      </c>
      <c r="H315" s="32" t="s">
        <v>376</v>
      </c>
    </row>
    <row r="316" spans="2:8" ht="15.75" thickBot="1" x14ac:dyDescent="0.3">
      <c r="B316" s="448"/>
      <c r="C316" s="440"/>
      <c r="D316" s="431"/>
      <c r="E316" s="196"/>
      <c r="F316" s="32" t="s">
        <v>568</v>
      </c>
      <c r="G316" s="186">
        <v>5250000</v>
      </c>
      <c r="H316" s="32" t="s">
        <v>376</v>
      </c>
    </row>
    <row r="317" spans="2:8" ht="15.75" thickBot="1" x14ac:dyDescent="0.3">
      <c r="B317" s="448"/>
      <c r="C317" s="440"/>
      <c r="D317" s="431"/>
      <c r="E317" s="206" t="s">
        <v>392</v>
      </c>
      <c r="F317" s="13"/>
      <c r="G317" s="187">
        <f>SUM(G313:G316)</f>
        <v>105000000</v>
      </c>
      <c r="H317" s="13"/>
    </row>
    <row r="318" spans="2:8" ht="28.5" x14ac:dyDescent="0.25">
      <c r="B318" s="448"/>
      <c r="C318" s="440"/>
      <c r="D318" s="431"/>
      <c r="E318" s="226" t="s">
        <v>626</v>
      </c>
      <c r="F318" s="226" t="s">
        <v>388</v>
      </c>
      <c r="G318" s="227">
        <v>5000000</v>
      </c>
      <c r="H318" s="266" t="s">
        <v>1311</v>
      </c>
    </row>
    <row r="319" spans="2:8" x14ac:dyDescent="0.25">
      <c r="B319" s="448"/>
      <c r="C319" s="440"/>
      <c r="D319" s="431"/>
      <c r="E319" s="22"/>
      <c r="F319" s="259" t="s">
        <v>389</v>
      </c>
      <c r="G319" s="228">
        <v>10000000</v>
      </c>
      <c r="H319" s="267" t="s">
        <v>376</v>
      </c>
    </row>
    <row r="320" spans="2:8" x14ac:dyDescent="0.25">
      <c r="B320" s="448"/>
      <c r="C320" s="440"/>
      <c r="D320" s="431"/>
      <c r="E320" s="22"/>
      <c r="F320" s="259" t="s">
        <v>533</v>
      </c>
      <c r="G320" s="228">
        <v>80000000</v>
      </c>
      <c r="H320" s="267" t="s">
        <v>376</v>
      </c>
    </row>
    <row r="321" spans="2:8" ht="15.75" thickBot="1" x14ac:dyDescent="0.3">
      <c r="B321" s="448"/>
      <c r="C321" s="440"/>
      <c r="D321" s="431"/>
      <c r="E321" s="317"/>
      <c r="F321" s="260" t="s">
        <v>568</v>
      </c>
      <c r="G321" s="314">
        <v>5000000</v>
      </c>
      <c r="H321" s="298" t="s">
        <v>376</v>
      </c>
    </row>
    <row r="322" spans="2:8" ht="15.75" thickBot="1" x14ac:dyDescent="0.3">
      <c r="B322" s="448"/>
      <c r="C322" s="440"/>
      <c r="D322" s="892"/>
      <c r="E322" s="263" t="s">
        <v>405</v>
      </c>
      <c r="F322" s="14"/>
      <c r="G322" s="185">
        <f>SUM(G318:G321)</f>
        <v>100000000</v>
      </c>
      <c r="H322" s="14"/>
    </row>
    <row r="323" spans="2:8" ht="28.5" x14ac:dyDescent="0.25">
      <c r="B323" s="448"/>
      <c r="C323" s="440"/>
      <c r="D323" s="892"/>
      <c r="E323" s="35" t="s">
        <v>1312</v>
      </c>
      <c r="F323" s="163" t="s">
        <v>388</v>
      </c>
      <c r="G323" s="364">
        <v>1500000</v>
      </c>
      <c r="H323" s="35" t="s">
        <v>550</v>
      </c>
    </row>
    <row r="324" spans="2:8" ht="15.75" thickBot="1" x14ac:dyDescent="0.3">
      <c r="B324" s="448"/>
      <c r="C324" s="440"/>
      <c r="D324" s="892"/>
      <c r="E324" s="13"/>
      <c r="F324" s="32" t="s">
        <v>389</v>
      </c>
      <c r="G324" s="186">
        <v>3000000</v>
      </c>
      <c r="H324" s="32" t="s">
        <v>376</v>
      </c>
    </row>
    <row r="325" spans="2:8" ht="15.75" thickBot="1" x14ac:dyDescent="0.3">
      <c r="B325" s="448"/>
      <c r="C325" s="440"/>
      <c r="D325" s="892"/>
      <c r="E325" s="13"/>
      <c r="F325" s="32" t="s">
        <v>533</v>
      </c>
      <c r="G325" s="186">
        <f>SUM(G323:G324)</f>
        <v>4500000</v>
      </c>
      <c r="H325" s="32" t="s">
        <v>376</v>
      </c>
    </row>
    <row r="326" spans="2:8" ht="15.75" thickBot="1" x14ac:dyDescent="0.3">
      <c r="B326" s="448"/>
      <c r="C326" s="440"/>
      <c r="D326" s="892"/>
      <c r="E326" s="13"/>
      <c r="F326" s="35" t="s">
        <v>568</v>
      </c>
      <c r="G326" s="364">
        <v>1500000</v>
      </c>
      <c r="H326" s="163" t="s">
        <v>376</v>
      </c>
    </row>
    <row r="327" spans="2:8" ht="15.75" thickBot="1" x14ac:dyDescent="0.3">
      <c r="B327" s="448"/>
      <c r="C327" s="440"/>
      <c r="D327" s="892"/>
      <c r="E327" s="455" t="s">
        <v>479</v>
      </c>
      <c r="F327" s="254"/>
      <c r="G327" s="576">
        <f>SUM(G323:G326)</f>
        <v>10500000</v>
      </c>
      <c r="H327" s="297"/>
    </row>
    <row r="328" spans="2:8" x14ac:dyDescent="0.25">
      <c r="B328" s="448"/>
      <c r="C328" s="440"/>
      <c r="D328" s="892"/>
      <c r="E328" s="7" t="s">
        <v>628</v>
      </c>
      <c r="F328" s="453" t="s">
        <v>388</v>
      </c>
      <c r="G328" s="744">
        <v>500000</v>
      </c>
      <c r="H328" s="262" t="s">
        <v>638</v>
      </c>
    </row>
    <row r="329" spans="2:8" ht="15.75" thickBot="1" x14ac:dyDescent="0.3">
      <c r="B329" s="448"/>
      <c r="C329" s="440"/>
      <c r="D329" s="892"/>
      <c r="E329" s="7"/>
      <c r="F329" s="261" t="s">
        <v>389</v>
      </c>
      <c r="G329" s="315">
        <v>1000000</v>
      </c>
      <c r="H329" s="261" t="s">
        <v>376</v>
      </c>
    </row>
    <row r="330" spans="2:8" x14ac:dyDescent="0.25">
      <c r="B330" s="448"/>
      <c r="C330" s="440"/>
      <c r="D330" s="892"/>
      <c r="E330" s="7"/>
      <c r="F330" s="262" t="s">
        <v>639</v>
      </c>
      <c r="G330" s="488">
        <v>8000000</v>
      </c>
      <c r="H330" s="318" t="s">
        <v>376</v>
      </c>
    </row>
    <row r="331" spans="2:8" ht="15.75" thickBot="1" x14ac:dyDescent="0.3">
      <c r="B331" s="448"/>
      <c r="C331" s="440"/>
      <c r="D331" s="892"/>
      <c r="E331" s="319"/>
      <c r="F331" s="261" t="s">
        <v>629</v>
      </c>
      <c r="G331" s="315">
        <v>500000</v>
      </c>
      <c r="H331" s="261" t="s">
        <v>376</v>
      </c>
    </row>
    <row r="332" spans="2:8" ht="15.75" thickBot="1" x14ac:dyDescent="0.3">
      <c r="B332" s="448"/>
      <c r="C332" s="440"/>
      <c r="D332" s="892"/>
      <c r="E332" s="310" t="s">
        <v>630</v>
      </c>
      <c r="F332" s="14"/>
      <c r="G332" s="316">
        <f>SUM(G328:G331)</f>
        <v>10000000</v>
      </c>
      <c r="H332" s="14"/>
    </row>
    <row r="333" spans="2:8" ht="39" thickBot="1" x14ac:dyDescent="0.3">
      <c r="B333" s="448"/>
      <c r="C333" s="440"/>
      <c r="D333" s="892"/>
      <c r="E333" s="261" t="s">
        <v>631</v>
      </c>
      <c r="F333" s="261" t="s">
        <v>632</v>
      </c>
      <c r="G333" s="315">
        <v>2000000</v>
      </c>
      <c r="H333" s="261" t="s">
        <v>633</v>
      </c>
    </row>
    <row r="334" spans="2:8" ht="26.25" thickBot="1" x14ac:dyDescent="0.3">
      <c r="B334" s="448"/>
      <c r="C334" s="440"/>
      <c r="D334" s="892"/>
      <c r="E334" s="261" t="s">
        <v>634</v>
      </c>
      <c r="F334" s="261" t="s">
        <v>635</v>
      </c>
      <c r="G334" s="315">
        <v>100000</v>
      </c>
      <c r="H334" s="261" t="s">
        <v>633</v>
      </c>
    </row>
    <row r="335" spans="2:8" ht="15.75" thickBot="1" x14ac:dyDescent="0.3">
      <c r="B335" s="448"/>
      <c r="C335" s="440"/>
      <c r="D335" s="892"/>
      <c r="E335" s="917" t="s">
        <v>636</v>
      </c>
      <c r="F335" s="261" t="s">
        <v>388</v>
      </c>
      <c r="G335" s="315">
        <v>2500000</v>
      </c>
      <c r="H335" s="261" t="s">
        <v>637</v>
      </c>
    </row>
    <row r="336" spans="2:8" ht="15.75" thickBot="1" x14ac:dyDescent="0.3">
      <c r="B336" s="448"/>
      <c r="C336" s="440"/>
      <c r="D336" s="892"/>
      <c r="E336" s="918"/>
      <c r="F336" s="261" t="s">
        <v>389</v>
      </c>
      <c r="G336" s="315">
        <v>5000000</v>
      </c>
      <c r="H336" s="261" t="s">
        <v>638</v>
      </c>
    </row>
    <row r="337" spans="2:8" ht="15.75" thickBot="1" x14ac:dyDescent="0.3">
      <c r="B337" s="448"/>
      <c r="C337" s="440"/>
      <c r="D337" s="892"/>
      <c r="E337" s="918"/>
      <c r="F337" s="261" t="s">
        <v>639</v>
      </c>
      <c r="G337" s="315">
        <v>40000000</v>
      </c>
      <c r="H337" s="261" t="s">
        <v>376</v>
      </c>
    </row>
    <row r="338" spans="2:8" ht="15.75" thickBot="1" x14ac:dyDescent="0.3">
      <c r="B338" s="448"/>
      <c r="C338" s="440"/>
      <c r="D338" s="920"/>
      <c r="E338" s="919"/>
      <c r="F338" s="261" t="s">
        <v>629</v>
      </c>
      <c r="G338" s="315">
        <v>2500000</v>
      </c>
      <c r="H338" s="261" t="s">
        <v>376</v>
      </c>
    </row>
    <row r="339" spans="2:8" ht="15.75" thickBot="1" x14ac:dyDescent="0.3">
      <c r="B339" s="448"/>
      <c r="C339" s="440"/>
      <c r="D339" s="659"/>
      <c r="E339" s="558" t="s">
        <v>1617</v>
      </c>
      <c r="F339" s="722"/>
      <c r="G339" s="316">
        <f>SUM(G333:G338)</f>
        <v>52100000</v>
      </c>
      <c r="H339" s="662"/>
    </row>
    <row r="340" spans="2:8" ht="15.75" thickBot="1" x14ac:dyDescent="0.3">
      <c r="B340" s="770"/>
      <c r="C340" s="533"/>
      <c r="E340" s="780" t="s">
        <v>640</v>
      </c>
      <c r="F340" s="781"/>
      <c r="G340" s="782">
        <f>G339+G332+G327+G322+G317</f>
        <v>277600000</v>
      </c>
      <c r="H340" s="14"/>
    </row>
    <row r="341" spans="2:8" ht="15.75" thickBot="1" x14ac:dyDescent="0.3">
      <c r="B341" s="443" t="s">
        <v>1197</v>
      </c>
      <c r="C341" s="443" t="s">
        <v>1180</v>
      </c>
      <c r="D341" s="406"/>
      <c r="E341" s="183" t="s">
        <v>22</v>
      </c>
      <c r="F341" s="231" t="s">
        <v>27</v>
      </c>
      <c r="G341" s="326" t="s">
        <v>362</v>
      </c>
      <c r="H341" s="265" t="s">
        <v>1175</v>
      </c>
    </row>
    <row r="342" spans="2:8" ht="43.5" thickBot="1" x14ac:dyDescent="0.3">
      <c r="B342" s="448"/>
      <c r="C342" s="440"/>
      <c r="D342" s="191" t="s">
        <v>23</v>
      </c>
      <c r="E342" s="35" t="s">
        <v>641</v>
      </c>
      <c r="F342" s="13"/>
      <c r="G342" s="472"/>
      <c r="H342" s="13"/>
    </row>
    <row r="343" spans="2:8" ht="57" customHeight="1" thickBot="1" x14ac:dyDescent="0.3">
      <c r="B343" s="158" t="s">
        <v>1313</v>
      </c>
      <c r="C343" s="440" t="s">
        <v>1358</v>
      </c>
      <c r="D343" s="720" t="s">
        <v>24</v>
      </c>
      <c r="E343" s="321" t="s">
        <v>642</v>
      </c>
      <c r="F343" s="193" t="s">
        <v>643</v>
      </c>
      <c r="G343" s="496" t="s">
        <v>1618</v>
      </c>
      <c r="H343" s="202" t="s">
        <v>550</v>
      </c>
    </row>
    <row r="344" spans="2:8" ht="15.75" thickBot="1" x14ac:dyDescent="0.3">
      <c r="B344" s="448"/>
      <c r="C344" s="440"/>
      <c r="D344" s="717"/>
      <c r="E344" s="320" t="s">
        <v>645</v>
      </c>
      <c r="F344" s="249" t="s">
        <v>646</v>
      </c>
      <c r="G344" s="484" t="s">
        <v>644</v>
      </c>
      <c r="H344" s="294" t="s">
        <v>547</v>
      </c>
    </row>
    <row r="345" spans="2:8" ht="58.5" customHeight="1" thickBot="1" x14ac:dyDescent="0.3">
      <c r="B345" s="448"/>
      <c r="C345" s="440"/>
      <c r="D345" s="717"/>
      <c r="E345" s="293" t="s">
        <v>1314</v>
      </c>
      <c r="F345" s="249" t="s">
        <v>1619</v>
      </c>
      <c r="G345" s="708" t="s">
        <v>647</v>
      </c>
      <c r="H345" s="294" t="s">
        <v>547</v>
      </c>
    </row>
    <row r="346" spans="2:8" ht="86.25" thickBot="1" x14ac:dyDescent="0.3">
      <c r="B346" s="448"/>
      <c r="C346" s="440"/>
      <c r="D346" s="713"/>
      <c r="E346" s="320" t="s">
        <v>648</v>
      </c>
      <c r="F346" s="249" t="s">
        <v>1620</v>
      </c>
      <c r="G346" s="557" t="s">
        <v>1621</v>
      </c>
      <c r="H346" s="294" t="s">
        <v>1622</v>
      </c>
    </row>
    <row r="347" spans="2:8" ht="29.25" thickBot="1" x14ac:dyDescent="0.3">
      <c r="B347" s="448"/>
      <c r="C347" s="440"/>
      <c r="D347" s="716" t="s">
        <v>25</v>
      </c>
      <c r="E347" s="532" t="s">
        <v>650</v>
      </c>
      <c r="F347" s="200" t="s">
        <v>651</v>
      </c>
      <c r="G347" s="557" t="s">
        <v>1623</v>
      </c>
      <c r="H347" s="201" t="s">
        <v>547</v>
      </c>
    </row>
    <row r="348" spans="2:8" ht="15.75" thickBot="1" x14ac:dyDescent="0.3">
      <c r="B348" s="448"/>
      <c r="C348" s="440"/>
      <c r="D348" s="410"/>
      <c r="E348" s="35" t="s">
        <v>652</v>
      </c>
      <c r="F348" s="35" t="s">
        <v>653</v>
      </c>
      <c r="G348" s="559"/>
      <c r="H348" s="35" t="s">
        <v>376</v>
      </c>
    </row>
    <row r="349" spans="2:8" ht="47.25" customHeight="1" thickBot="1" x14ac:dyDescent="0.3">
      <c r="B349" s="448"/>
      <c r="C349" s="440"/>
      <c r="D349" s="416"/>
      <c r="E349" s="293" t="s">
        <v>1315</v>
      </c>
      <c r="F349" s="249" t="s">
        <v>1316</v>
      </c>
      <c r="G349" s="557" t="s">
        <v>364</v>
      </c>
      <c r="H349" s="322" t="s">
        <v>376</v>
      </c>
    </row>
    <row r="350" spans="2:8" ht="43.5" thickBot="1" x14ac:dyDescent="0.3">
      <c r="B350" s="448"/>
      <c r="C350" s="440"/>
      <c r="D350" s="416"/>
      <c r="E350" s="293" t="s">
        <v>1318</v>
      </c>
      <c r="F350" s="200" t="s">
        <v>654</v>
      </c>
      <c r="G350" s="557" t="s">
        <v>1317</v>
      </c>
      <c r="H350" s="201" t="s">
        <v>376</v>
      </c>
    </row>
    <row r="351" spans="2:8" ht="43.5" thickBot="1" x14ac:dyDescent="0.3">
      <c r="B351" s="448"/>
      <c r="C351" s="440"/>
      <c r="D351" s="715"/>
      <c r="E351" s="293" t="s">
        <v>1319</v>
      </c>
      <c r="F351" s="249" t="s">
        <v>1624</v>
      </c>
      <c r="G351" s="498" t="s">
        <v>655</v>
      </c>
      <c r="H351" s="201" t="s">
        <v>494</v>
      </c>
    </row>
    <row r="352" spans="2:8" ht="29.25" thickBot="1" x14ac:dyDescent="0.3">
      <c r="B352" s="448"/>
      <c r="C352" s="440"/>
      <c r="D352" s="410"/>
      <c r="E352" s="32" t="s">
        <v>656</v>
      </c>
      <c r="F352" s="32" t="s">
        <v>657</v>
      </c>
      <c r="G352" s="212" t="s">
        <v>658</v>
      </c>
      <c r="H352" s="32" t="s">
        <v>376</v>
      </c>
    </row>
    <row r="353" spans="2:8" ht="43.5" thickBot="1" x14ac:dyDescent="0.3">
      <c r="B353" s="448"/>
      <c r="C353" s="440"/>
      <c r="D353" s="410"/>
      <c r="E353" s="32" t="s">
        <v>659</v>
      </c>
      <c r="F353" s="32" t="s">
        <v>660</v>
      </c>
      <c r="G353" s="526"/>
      <c r="H353" s="32" t="s">
        <v>547</v>
      </c>
    </row>
    <row r="354" spans="2:8" ht="29.25" thickBot="1" x14ac:dyDescent="0.3">
      <c r="B354" s="448"/>
      <c r="C354" s="440"/>
      <c r="D354" s="410"/>
      <c r="E354" s="35" t="s">
        <v>1320</v>
      </c>
      <c r="F354" s="163" t="s">
        <v>661</v>
      </c>
      <c r="G354" s="771"/>
      <c r="H354" s="205"/>
    </row>
    <row r="355" spans="2:8" ht="15.75" thickBot="1" x14ac:dyDescent="0.3">
      <c r="B355" s="448"/>
      <c r="C355" s="440"/>
      <c r="D355" s="921" t="s">
        <v>26</v>
      </c>
      <c r="E355" s="117"/>
      <c r="F355" s="162" t="s">
        <v>64</v>
      </c>
      <c r="G355" s="555" t="s">
        <v>21</v>
      </c>
      <c r="H355" s="265" t="s">
        <v>934</v>
      </c>
    </row>
    <row r="356" spans="2:8" ht="29.25" thickBot="1" x14ac:dyDescent="0.3">
      <c r="B356" s="448"/>
      <c r="C356" s="440"/>
      <c r="D356" s="897"/>
      <c r="E356" s="32" t="s">
        <v>662</v>
      </c>
      <c r="F356" s="32" t="s">
        <v>595</v>
      </c>
      <c r="G356" s="186">
        <v>40000</v>
      </c>
      <c r="H356" s="32" t="s">
        <v>550</v>
      </c>
    </row>
    <row r="357" spans="2:8" ht="29.25" thickBot="1" x14ac:dyDescent="0.3">
      <c r="B357" s="448"/>
      <c r="C357" s="440"/>
      <c r="D357" s="897"/>
      <c r="E357" s="163" t="s">
        <v>663</v>
      </c>
      <c r="F357" s="32" t="s">
        <v>388</v>
      </c>
      <c r="G357" s="186">
        <v>1350000</v>
      </c>
      <c r="H357" s="32" t="s">
        <v>376</v>
      </c>
    </row>
    <row r="358" spans="2:8" ht="15.75" thickBot="1" x14ac:dyDescent="0.3">
      <c r="B358" s="448"/>
      <c r="C358" s="440"/>
      <c r="D358" s="897"/>
      <c r="E358" s="6"/>
      <c r="F358" s="32" t="s">
        <v>389</v>
      </c>
      <c r="G358" s="186">
        <v>2700000</v>
      </c>
      <c r="H358" s="32" t="s">
        <v>376</v>
      </c>
    </row>
    <row r="359" spans="2:8" x14ac:dyDescent="0.25">
      <c r="B359" s="448"/>
      <c r="C359" s="440"/>
      <c r="D359" s="897"/>
      <c r="E359" s="6"/>
      <c r="F359" s="35" t="s">
        <v>567</v>
      </c>
      <c r="G359" s="364">
        <v>264600000</v>
      </c>
      <c r="H359" s="308" t="s">
        <v>376</v>
      </c>
    </row>
    <row r="360" spans="2:8" ht="15.75" thickBot="1" x14ac:dyDescent="0.3">
      <c r="B360" s="448"/>
      <c r="C360" s="440"/>
      <c r="D360" s="897"/>
      <c r="E360" s="190"/>
      <c r="F360" s="32" t="s">
        <v>568</v>
      </c>
      <c r="G360" s="186">
        <v>1350000</v>
      </c>
      <c r="H360" s="32" t="s">
        <v>376</v>
      </c>
    </row>
    <row r="361" spans="2:8" ht="15.75" thickBot="1" x14ac:dyDescent="0.3">
      <c r="B361" s="448"/>
      <c r="C361" s="440"/>
      <c r="D361" s="897"/>
      <c r="E361" s="263" t="s">
        <v>664</v>
      </c>
      <c r="F361" s="14"/>
      <c r="G361" s="185">
        <f>SUM(G356:G360)</f>
        <v>270040000</v>
      </c>
      <c r="H361" s="14"/>
    </row>
    <row r="362" spans="2:8" ht="15.75" thickBot="1" x14ac:dyDescent="0.3">
      <c r="B362" s="448"/>
      <c r="C362" s="440"/>
      <c r="D362" s="897"/>
      <c r="E362" s="163" t="s">
        <v>665</v>
      </c>
      <c r="F362" s="32" t="s">
        <v>388</v>
      </c>
      <c r="G362" s="186" t="s">
        <v>666</v>
      </c>
      <c r="H362" s="32" t="s">
        <v>426</v>
      </c>
    </row>
    <row r="363" spans="2:8" x14ac:dyDescent="0.25">
      <c r="B363" s="448"/>
      <c r="C363" s="440"/>
      <c r="D363" s="897"/>
      <c r="E363" s="6"/>
      <c r="F363" s="35" t="s">
        <v>389</v>
      </c>
      <c r="G363" s="364">
        <v>1000000</v>
      </c>
      <c r="H363" s="163" t="s">
        <v>376</v>
      </c>
    </row>
    <row r="364" spans="2:8" ht="15.75" thickBot="1" x14ac:dyDescent="0.3">
      <c r="B364" s="448"/>
      <c r="C364" s="440"/>
      <c r="D364" s="897"/>
      <c r="E364" s="6"/>
      <c r="F364" s="32" t="s">
        <v>567</v>
      </c>
      <c r="G364" s="186">
        <v>8000000</v>
      </c>
      <c r="H364" s="32" t="s">
        <v>376</v>
      </c>
    </row>
    <row r="365" spans="2:8" ht="15.75" thickBot="1" x14ac:dyDescent="0.3">
      <c r="B365" s="448"/>
      <c r="C365" s="440"/>
      <c r="D365" s="897"/>
      <c r="E365" s="190"/>
      <c r="F365" s="32" t="s">
        <v>568</v>
      </c>
      <c r="G365" s="186">
        <v>500000</v>
      </c>
      <c r="H365" s="32" t="s">
        <v>376</v>
      </c>
    </row>
    <row r="366" spans="2:8" ht="15.75" thickBot="1" x14ac:dyDescent="0.3">
      <c r="B366" s="448"/>
      <c r="C366" s="440"/>
      <c r="D366" s="897"/>
      <c r="E366" s="206" t="s">
        <v>667</v>
      </c>
      <c r="F366" s="13"/>
      <c r="G366" s="187">
        <f>SUM(G362:G365)</f>
        <v>9500000</v>
      </c>
      <c r="H366" s="13"/>
    </row>
    <row r="367" spans="2:8" ht="29.25" thickBot="1" x14ac:dyDescent="0.3">
      <c r="B367" s="448"/>
      <c r="C367" s="440"/>
      <c r="D367" s="896"/>
      <c r="E367" s="302" t="s">
        <v>1321</v>
      </c>
      <c r="F367" s="235" t="s">
        <v>1322</v>
      </c>
      <c r="G367" s="204">
        <v>2000000</v>
      </c>
      <c r="H367" s="266" t="s">
        <v>426</v>
      </c>
    </row>
    <row r="368" spans="2:8" ht="28.5" x14ac:dyDescent="0.25">
      <c r="B368" s="448"/>
      <c r="C368" s="440"/>
      <c r="D368" s="896"/>
      <c r="E368" s="220" t="s">
        <v>668</v>
      </c>
      <c r="F368" s="725" t="s">
        <v>388</v>
      </c>
      <c r="G368" s="333">
        <v>1250000</v>
      </c>
      <c r="H368" s="266" t="s">
        <v>550</v>
      </c>
    </row>
    <row r="369" spans="2:8" x14ac:dyDescent="0.25">
      <c r="B369" s="448"/>
      <c r="C369" s="440"/>
      <c r="D369" s="896"/>
      <c r="E369" s="223"/>
      <c r="F369" s="233" t="s">
        <v>389</v>
      </c>
      <c r="G369" s="334">
        <v>2500000</v>
      </c>
      <c r="H369" s="267" t="s">
        <v>426</v>
      </c>
    </row>
    <row r="370" spans="2:8" ht="15.75" thickBot="1" x14ac:dyDescent="0.3">
      <c r="B370" s="448"/>
      <c r="C370" s="440"/>
      <c r="D370" s="896"/>
      <c r="E370" s="223"/>
      <c r="F370" s="233" t="s">
        <v>567</v>
      </c>
      <c r="G370" s="334">
        <v>20000000</v>
      </c>
      <c r="H370" s="224" t="s">
        <v>376</v>
      </c>
    </row>
    <row r="371" spans="2:8" ht="15.75" thickBot="1" x14ac:dyDescent="0.3">
      <c r="B371" s="448"/>
      <c r="C371" s="440"/>
      <c r="D371" s="426"/>
      <c r="E371" s="301"/>
      <c r="F371" s="726" t="s">
        <v>568</v>
      </c>
      <c r="G371" s="337">
        <v>1250000</v>
      </c>
      <c r="H371" s="298" t="s">
        <v>376</v>
      </c>
    </row>
    <row r="372" spans="2:8" ht="15.75" thickBot="1" x14ac:dyDescent="0.3">
      <c r="B372" s="448"/>
      <c r="C372" s="440"/>
      <c r="D372" s="410"/>
      <c r="E372" s="206" t="s">
        <v>669</v>
      </c>
      <c r="F372" s="13"/>
      <c r="G372" s="187">
        <f>SUM(G367:G371)</f>
        <v>27000000</v>
      </c>
      <c r="H372" s="13"/>
    </row>
    <row r="373" spans="2:8" ht="29.25" thickBot="1" x14ac:dyDescent="0.3">
      <c r="B373" s="448"/>
      <c r="C373" s="440"/>
      <c r="D373" s="416"/>
      <c r="E373" s="293" t="s">
        <v>1323</v>
      </c>
      <c r="F373" s="249" t="s">
        <v>1324</v>
      </c>
      <c r="G373" s="324">
        <v>12800000</v>
      </c>
      <c r="H373" s="294" t="s">
        <v>547</v>
      </c>
    </row>
    <row r="374" spans="2:8" ht="57.75" thickBot="1" x14ac:dyDescent="0.3">
      <c r="B374" s="448"/>
      <c r="C374" s="440"/>
      <c r="D374" s="715"/>
      <c r="E374" s="293" t="s">
        <v>1326</v>
      </c>
      <c r="F374" s="249" t="s">
        <v>1325</v>
      </c>
      <c r="G374" s="324">
        <v>20000000</v>
      </c>
      <c r="H374" s="294" t="s">
        <v>426</v>
      </c>
    </row>
    <row r="375" spans="2:8" ht="29.25" thickBot="1" x14ac:dyDescent="0.3">
      <c r="B375" s="448"/>
      <c r="C375" s="440"/>
      <c r="D375" s="715"/>
      <c r="E375" s="381" t="s">
        <v>1625</v>
      </c>
      <c r="F375" s="235" t="s">
        <v>1325</v>
      </c>
      <c r="G375" s="568">
        <v>50000</v>
      </c>
      <c r="H375" s="202" t="s">
        <v>376</v>
      </c>
    </row>
    <row r="376" spans="2:8" x14ac:dyDescent="0.25">
      <c r="B376" s="448"/>
      <c r="C376" s="440"/>
      <c r="D376" s="715"/>
      <c r="E376" s="725" t="s">
        <v>670</v>
      </c>
      <c r="F376" s="502" t="s">
        <v>671</v>
      </c>
      <c r="G376" s="461">
        <v>500000</v>
      </c>
      <c r="H376" s="727" t="s">
        <v>376</v>
      </c>
    </row>
    <row r="377" spans="2:8" ht="15.75" thickBot="1" x14ac:dyDescent="0.3">
      <c r="B377" s="448"/>
      <c r="C377" s="440"/>
      <c r="D377" s="715"/>
      <c r="E377" s="721"/>
      <c r="F377" s="504" t="s">
        <v>672</v>
      </c>
      <c r="G377" s="473">
        <v>1500000</v>
      </c>
      <c r="H377" s="506" t="s">
        <v>376</v>
      </c>
    </row>
    <row r="378" spans="2:8" ht="15.75" thickBot="1" x14ac:dyDescent="0.3">
      <c r="B378" s="448"/>
      <c r="C378" s="440"/>
      <c r="D378" s="715"/>
      <c r="E378" s="775" t="s">
        <v>673</v>
      </c>
      <c r="F378" s="772"/>
      <c r="G378" s="773">
        <f>SUM(G373:G377)</f>
        <v>34850000</v>
      </c>
      <c r="H378" s="774"/>
    </row>
    <row r="379" spans="2:8" ht="29.25" thickBot="1" x14ac:dyDescent="0.3">
      <c r="B379" s="448"/>
      <c r="C379" s="440"/>
      <c r="D379" s="410"/>
      <c r="E379" s="32" t="s">
        <v>674</v>
      </c>
      <c r="F379" s="32" t="s">
        <v>675</v>
      </c>
      <c r="G379" s="186">
        <v>100000</v>
      </c>
      <c r="H379" s="32" t="s">
        <v>376</v>
      </c>
    </row>
    <row r="380" spans="2:8" ht="43.5" thickBot="1" x14ac:dyDescent="0.3">
      <c r="B380" s="448"/>
      <c r="C380" s="440"/>
      <c r="D380" s="433"/>
      <c r="E380" s="32" t="s">
        <v>676</v>
      </c>
      <c r="F380" s="32" t="s">
        <v>677</v>
      </c>
      <c r="G380" s="186">
        <v>800000</v>
      </c>
      <c r="H380" s="32" t="s">
        <v>376</v>
      </c>
    </row>
    <row r="381" spans="2:8" ht="15.75" thickBot="1" x14ac:dyDescent="0.3">
      <c r="B381" s="448"/>
      <c r="C381" s="440"/>
      <c r="D381" s="724"/>
      <c r="E381" s="775" t="s">
        <v>1626</v>
      </c>
      <c r="F381" s="719"/>
      <c r="G381" s="185">
        <f>SUM(G379:G380)</f>
        <v>900000</v>
      </c>
      <c r="H381" s="719"/>
    </row>
    <row r="382" spans="2:8" ht="15.75" thickBot="1" x14ac:dyDescent="0.3">
      <c r="B382" s="448"/>
      <c r="C382" s="440"/>
      <c r="D382" s="434"/>
      <c r="E382" s="777" t="s">
        <v>678</v>
      </c>
      <c r="F382" s="778"/>
      <c r="G382" s="779">
        <f>G381+G378+G372+G366+G361</f>
        <v>342290000</v>
      </c>
      <c r="H382" s="14"/>
    </row>
    <row r="383" spans="2:8" ht="15.75" thickBot="1" x14ac:dyDescent="0.3">
      <c r="B383" s="443" t="s">
        <v>1197</v>
      </c>
      <c r="C383" s="443" t="s">
        <v>1199</v>
      </c>
      <c r="D383" s="406"/>
      <c r="E383" s="183" t="s">
        <v>22</v>
      </c>
      <c r="F383" s="231" t="s">
        <v>27</v>
      </c>
      <c r="G383" s="326" t="s">
        <v>362</v>
      </c>
      <c r="H383" s="265" t="s">
        <v>1175</v>
      </c>
    </row>
    <row r="384" spans="2:8" ht="30.75" thickBot="1" x14ac:dyDescent="0.3">
      <c r="B384" s="287" t="s">
        <v>40</v>
      </c>
      <c r="C384" s="440" t="s">
        <v>1359</v>
      </c>
      <c r="D384" s="417" t="s">
        <v>23</v>
      </c>
      <c r="E384" s="293" t="s">
        <v>1327</v>
      </c>
      <c r="F384" s="195"/>
      <c r="G384" s="480"/>
      <c r="H384" s="294" t="s">
        <v>682</v>
      </c>
    </row>
    <row r="385" spans="2:8" ht="72" thickBot="1" x14ac:dyDescent="0.3">
      <c r="B385" s="448"/>
      <c r="C385" s="440"/>
      <c r="D385" s="432" t="s">
        <v>24</v>
      </c>
      <c r="E385" s="532" t="s">
        <v>679</v>
      </c>
      <c r="F385" s="200" t="s">
        <v>680</v>
      </c>
      <c r="G385" s="557" t="s">
        <v>1629</v>
      </c>
      <c r="H385" s="201" t="s">
        <v>682</v>
      </c>
    </row>
    <row r="386" spans="2:8" ht="29.25" thickBot="1" x14ac:dyDescent="0.3">
      <c r="B386" s="448"/>
      <c r="C386" s="440"/>
      <c r="D386" s="421"/>
      <c r="E386" s="718" t="s">
        <v>683</v>
      </c>
      <c r="F386" s="718" t="s">
        <v>684</v>
      </c>
      <c r="G386" s="157" t="s">
        <v>373</v>
      </c>
      <c r="H386" s="718" t="s">
        <v>547</v>
      </c>
    </row>
    <row r="387" spans="2:8" ht="72" thickBot="1" x14ac:dyDescent="0.3">
      <c r="B387" s="448"/>
      <c r="C387" s="440"/>
      <c r="D387" s="714"/>
      <c r="E387" s="293" t="s">
        <v>1330</v>
      </c>
      <c r="F387" s="249" t="s">
        <v>1329</v>
      </c>
      <c r="G387" s="557" t="s">
        <v>1627</v>
      </c>
      <c r="H387" s="294" t="s">
        <v>1328</v>
      </c>
    </row>
    <row r="388" spans="2:8" ht="43.5" thickBot="1" x14ac:dyDescent="0.3">
      <c r="B388" s="448"/>
      <c r="C388" s="440"/>
      <c r="D388" s="412"/>
      <c r="E388" s="32" t="s">
        <v>1331</v>
      </c>
      <c r="F388" s="32" t="s">
        <v>1332</v>
      </c>
      <c r="G388" s="212" t="s">
        <v>1333</v>
      </c>
      <c r="H388" s="32" t="s">
        <v>1334</v>
      </c>
    </row>
    <row r="389" spans="2:8" ht="43.5" thickBot="1" x14ac:dyDescent="0.3">
      <c r="B389" s="448"/>
      <c r="C389" s="440"/>
      <c r="D389" s="408" t="s">
        <v>25</v>
      </c>
      <c r="E389" s="32" t="s">
        <v>685</v>
      </c>
      <c r="F389" s="32" t="s">
        <v>686</v>
      </c>
      <c r="G389" s="212" t="s">
        <v>681</v>
      </c>
      <c r="H389" s="32" t="s">
        <v>547</v>
      </c>
    </row>
    <row r="390" spans="2:8" ht="24" customHeight="1" thickBot="1" x14ac:dyDescent="0.3">
      <c r="B390" s="448"/>
      <c r="C390" s="440"/>
      <c r="D390" s="410"/>
      <c r="E390" s="718" t="s">
        <v>687</v>
      </c>
      <c r="F390" s="723"/>
      <c r="G390" s="157" t="s">
        <v>688</v>
      </c>
      <c r="H390" s="718" t="s">
        <v>376</v>
      </c>
    </row>
    <row r="391" spans="2:8" ht="43.5" thickBot="1" x14ac:dyDescent="0.3">
      <c r="B391" s="448"/>
      <c r="C391" s="440"/>
      <c r="D391" s="399"/>
      <c r="E391" s="532" t="s">
        <v>689</v>
      </c>
      <c r="F391" s="200" t="s">
        <v>690</v>
      </c>
      <c r="G391" s="557" t="s">
        <v>1628</v>
      </c>
      <c r="H391" s="201" t="s">
        <v>376</v>
      </c>
    </row>
    <row r="392" spans="2:8" ht="15.75" thickBot="1" x14ac:dyDescent="0.3">
      <c r="B392" s="448"/>
      <c r="C392" s="440"/>
      <c r="D392" s="161" t="s">
        <v>26</v>
      </c>
      <c r="E392" s="195"/>
      <c r="F392" s="162" t="s">
        <v>380</v>
      </c>
      <c r="G392" s="494" t="s">
        <v>21</v>
      </c>
      <c r="H392" s="265" t="s">
        <v>934</v>
      </c>
    </row>
    <row r="393" spans="2:8" ht="29.25" thickBot="1" x14ac:dyDescent="0.3">
      <c r="B393" s="448"/>
      <c r="C393" s="440"/>
      <c r="D393" s="416"/>
      <c r="E393" s="293" t="s">
        <v>1335</v>
      </c>
      <c r="F393" s="249" t="s">
        <v>1336</v>
      </c>
      <c r="G393" s="324">
        <v>1000000</v>
      </c>
      <c r="H393" s="201" t="s">
        <v>426</v>
      </c>
    </row>
    <row r="394" spans="2:8" ht="29.25" thickBot="1" x14ac:dyDescent="0.3">
      <c r="B394" s="448"/>
      <c r="C394" s="440"/>
      <c r="D394" s="410"/>
      <c r="E394" s="32" t="s">
        <v>691</v>
      </c>
      <c r="F394" s="32" t="s">
        <v>692</v>
      </c>
      <c r="G394" s="186">
        <v>2000000</v>
      </c>
      <c r="H394" s="32" t="s">
        <v>376</v>
      </c>
    </row>
    <row r="395" spans="2:8" ht="43.5" thickBot="1" x14ac:dyDescent="0.3">
      <c r="B395" s="448"/>
      <c r="C395" s="440"/>
      <c r="D395" s="433"/>
      <c r="E395" s="32" t="s">
        <v>693</v>
      </c>
      <c r="F395" s="32" t="s">
        <v>694</v>
      </c>
      <c r="G395" s="186">
        <v>25000000</v>
      </c>
      <c r="H395" s="32" t="s">
        <v>376</v>
      </c>
    </row>
    <row r="396" spans="2:8" ht="15.75" thickBot="1" x14ac:dyDescent="0.3">
      <c r="B396" s="451"/>
      <c r="C396" s="440"/>
      <c r="D396" s="831"/>
      <c r="E396" s="777" t="s">
        <v>695</v>
      </c>
      <c r="F396" s="778"/>
      <c r="G396" s="779">
        <f>SUM(G393:G395)</f>
        <v>28000000</v>
      </c>
      <c r="H396" s="778"/>
    </row>
    <row r="397" spans="2:8" ht="15.75" thickBot="1" x14ac:dyDescent="0.3">
      <c r="B397" s="443" t="s">
        <v>1197</v>
      </c>
      <c r="C397" s="443" t="s">
        <v>1360</v>
      </c>
      <c r="D397" s="406"/>
      <c r="E397" s="229" t="s">
        <v>22</v>
      </c>
      <c r="F397" s="346" t="s">
        <v>27</v>
      </c>
      <c r="G397" s="739" t="s">
        <v>362</v>
      </c>
      <c r="H397" s="265" t="s">
        <v>1175</v>
      </c>
    </row>
    <row r="398" spans="2:8" ht="38.25" thickBot="1" x14ac:dyDescent="0.3">
      <c r="B398" s="452" t="s">
        <v>1337</v>
      </c>
      <c r="C398" s="440" t="s">
        <v>66</v>
      </c>
      <c r="D398" s="217" t="s">
        <v>23</v>
      </c>
      <c r="E398" s="348" t="s">
        <v>696</v>
      </c>
      <c r="F398" s="331" t="s">
        <v>697</v>
      </c>
      <c r="G398" s="794" t="s">
        <v>698</v>
      </c>
      <c r="H398" s="13"/>
    </row>
    <row r="399" spans="2:8" ht="102.75" thickBot="1" x14ac:dyDescent="0.3">
      <c r="B399" s="438"/>
      <c r="C399" s="440"/>
      <c r="D399" s="432" t="s">
        <v>24</v>
      </c>
      <c r="E399" s="803" t="s">
        <v>699</v>
      </c>
      <c r="F399" s="348" t="s">
        <v>1630</v>
      </c>
      <c r="G399" s="804" t="s">
        <v>1631</v>
      </c>
      <c r="H399" s="328" t="s">
        <v>1338</v>
      </c>
    </row>
    <row r="400" spans="2:8" ht="115.5" thickBot="1" x14ac:dyDescent="0.3">
      <c r="B400" s="438"/>
      <c r="C400" s="440"/>
      <c r="D400" s="714"/>
      <c r="E400" s="803" t="s">
        <v>700</v>
      </c>
      <c r="F400" s="348" t="s">
        <v>1632</v>
      </c>
      <c r="G400" s="804" t="s">
        <v>1634</v>
      </c>
      <c r="H400" s="328" t="s">
        <v>1633</v>
      </c>
    </row>
    <row r="401" spans="2:8" ht="51.75" thickBot="1" x14ac:dyDescent="0.3">
      <c r="B401" s="438"/>
      <c r="C401" s="440"/>
      <c r="D401" s="714"/>
      <c r="E401" s="803" t="s">
        <v>704</v>
      </c>
      <c r="F401" s="348" t="s">
        <v>1635</v>
      </c>
      <c r="G401" s="804" t="s">
        <v>1636</v>
      </c>
      <c r="H401" s="328" t="s">
        <v>1637</v>
      </c>
    </row>
    <row r="402" spans="2:8" ht="26.25" thickBot="1" x14ac:dyDescent="0.3">
      <c r="B402" s="438"/>
      <c r="C402" s="440"/>
      <c r="D402" s="421"/>
      <c r="E402" s="340" t="s">
        <v>705</v>
      </c>
      <c r="F402" s="348" t="s">
        <v>706</v>
      </c>
      <c r="G402" s="796" t="s">
        <v>707</v>
      </c>
      <c r="H402" s="328" t="s">
        <v>708</v>
      </c>
    </row>
    <row r="403" spans="2:8" ht="29.25" thickBot="1" x14ac:dyDescent="0.3">
      <c r="B403" s="438"/>
      <c r="C403" s="440"/>
      <c r="D403" s="432" t="s">
        <v>25</v>
      </c>
      <c r="E403" s="341" t="s">
        <v>709</v>
      </c>
      <c r="F403" s="349" t="s">
        <v>710</v>
      </c>
      <c r="G403" s="797" t="s">
        <v>711</v>
      </c>
      <c r="H403" s="32" t="s">
        <v>376</v>
      </c>
    </row>
    <row r="404" spans="2:8" ht="26.25" thickBot="1" x14ac:dyDescent="0.3">
      <c r="B404" s="438"/>
      <c r="C404" s="440"/>
      <c r="D404" s="421"/>
      <c r="E404" s="329" t="s">
        <v>712</v>
      </c>
      <c r="F404" s="331" t="s">
        <v>713</v>
      </c>
      <c r="G404" s="795" t="s">
        <v>714</v>
      </c>
      <c r="H404" s="262" t="s">
        <v>633</v>
      </c>
    </row>
    <row r="405" spans="2:8" ht="43.5" thickBot="1" x14ac:dyDescent="0.3">
      <c r="B405" s="438"/>
      <c r="C405" s="440"/>
      <c r="D405" s="714"/>
      <c r="E405" s="687" t="s">
        <v>1339</v>
      </c>
      <c r="F405" s="703" t="s">
        <v>715</v>
      </c>
      <c r="G405" s="805" t="s">
        <v>1638</v>
      </c>
      <c r="H405" s="355" t="s">
        <v>376</v>
      </c>
    </row>
    <row r="406" spans="2:8" ht="29.25" thickBot="1" x14ac:dyDescent="0.3">
      <c r="B406" s="438"/>
      <c r="C406" s="440"/>
      <c r="D406" s="421"/>
      <c r="E406" s="342" t="s">
        <v>1340</v>
      </c>
      <c r="F406" s="320" t="s">
        <v>1341</v>
      </c>
      <c r="G406" s="798" t="s">
        <v>716</v>
      </c>
      <c r="H406" s="355" t="s">
        <v>376</v>
      </c>
    </row>
    <row r="407" spans="2:8" ht="25.5" x14ac:dyDescent="0.25">
      <c r="B407" s="438"/>
      <c r="C407" s="440"/>
      <c r="D407" s="892"/>
      <c r="E407" s="329" t="s">
        <v>1342</v>
      </c>
      <c r="F407" s="331" t="s">
        <v>1343</v>
      </c>
      <c r="G407" s="799" t="s">
        <v>1344</v>
      </c>
      <c r="H407" s="262" t="s">
        <v>633</v>
      </c>
    </row>
    <row r="408" spans="2:8" x14ac:dyDescent="0.25">
      <c r="B408" s="438"/>
      <c r="C408" s="440"/>
      <c r="D408" s="892"/>
      <c r="E408" s="211"/>
      <c r="F408" s="234"/>
      <c r="G408" s="795" t="s">
        <v>701</v>
      </c>
      <c r="H408" s="13"/>
    </row>
    <row r="409" spans="2:8" x14ac:dyDescent="0.25">
      <c r="B409" s="438"/>
      <c r="C409" s="440"/>
      <c r="D409" s="892"/>
      <c r="E409" s="211"/>
      <c r="F409" s="234"/>
      <c r="G409" s="795" t="s">
        <v>702</v>
      </c>
      <c r="H409" s="13"/>
    </row>
    <row r="410" spans="2:8" ht="15.75" thickBot="1" x14ac:dyDescent="0.3">
      <c r="B410" s="438"/>
      <c r="C410" s="440"/>
      <c r="D410" s="892"/>
      <c r="E410" s="211"/>
      <c r="F410" s="234"/>
      <c r="G410" s="795" t="s">
        <v>703</v>
      </c>
      <c r="H410" s="13"/>
    </row>
    <row r="411" spans="2:8" ht="39" thickBot="1" x14ac:dyDescent="0.3">
      <c r="B411" s="438"/>
      <c r="C411" s="440"/>
      <c r="D411" s="421"/>
      <c r="E411" s="806" t="s">
        <v>1345</v>
      </c>
      <c r="F411" s="348" t="s">
        <v>717</v>
      </c>
      <c r="G411" s="804" t="s">
        <v>1639</v>
      </c>
      <c r="H411" s="328" t="s">
        <v>638</v>
      </c>
    </row>
    <row r="412" spans="2:8" ht="15.75" thickBot="1" x14ac:dyDescent="0.3">
      <c r="B412" s="438"/>
      <c r="C412" s="440"/>
      <c r="D412" s="435"/>
      <c r="E412" s="807" t="s">
        <v>718</v>
      </c>
      <c r="F412" s="331" t="s">
        <v>719</v>
      </c>
      <c r="G412" s="795" t="s">
        <v>714</v>
      </c>
      <c r="H412" s="722" t="s">
        <v>633</v>
      </c>
    </row>
    <row r="413" spans="2:8" ht="39" thickBot="1" x14ac:dyDescent="0.3">
      <c r="B413" s="438"/>
      <c r="C413" s="440"/>
      <c r="D413" s="435"/>
      <c r="E413" s="803" t="s">
        <v>720</v>
      </c>
      <c r="F413" s="348" t="s">
        <v>1346</v>
      </c>
      <c r="G413" s="804" t="s">
        <v>1640</v>
      </c>
      <c r="H413" s="808"/>
    </row>
    <row r="414" spans="2:8" ht="26.25" thickBot="1" x14ac:dyDescent="0.3">
      <c r="B414" s="438"/>
      <c r="C414" s="440"/>
      <c r="D414" s="435"/>
      <c r="E414" s="343" t="s">
        <v>721</v>
      </c>
      <c r="F414" s="351" t="s">
        <v>722</v>
      </c>
      <c r="G414" s="800" t="s">
        <v>723</v>
      </c>
      <c r="H414" s="261" t="s">
        <v>633</v>
      </c>
    </row>
    <row r="415" spans="2:8" ht="24.75" customHeight="1" thickBot="1" x14ac:dyDescent="0.3">
      <c r="B415" s="438"/>
      <c r="C415" s="440"/>
      <c r="D415" s="435"/>
      <c r="E415" s="23" t="s">
        <v>724</v>
      </c>
      <c r="F415" s="331" t="s">
        <v>1347</v>
      </c>
      <c r="G415" s="801" t="s">
        <v>725</v>
      </c>
      <c r="H415" s="262" t="s">
        <v>633</v>
      </c>
    </row>
    <row r="416" spans="2:8" ht="15.75" thickBot="1" x14ac:dyDescent="0.3">
      <c r="B416" s="438"/>
      <c r="C416" s="440"/>
      <c r="D416" s="417" t="s">
        <v>26</v>
      </c>
      <c r="E416" s="344"/>
      <c r="F416" s="172" t="s">
        <v>380</v>
      </c>
      <c r="G416" s="802" t="s">
        <v>21</v>
      </c>
      <c r="H416" s="288" t="s">
        <v>934</v>
      </c>
    </row>
    <row r="417" spans="2:8" ht="28.5" x14ac:dyDescent="0.25">
      <c r="B417" s="438"/>
      <c r="C417" s="440"/>
      <c r="D417" s="435"/>
      <c r="E417" s="221" t="s">
        <v>1348</v>
      </c>
      <c r="F417" s="330" t="s">
        <v>388</v>
      </c>
      <c r="G417" s="333">
        <v>60000000</v>
      </c>
      <c r="H417" s="266" t="s">
        <v>451</v>
      </c>
    </row>
    <row r="418" spans="2:8" x14ac:dyDescent="0.25">
      <c r="B418" s="438"/>
      <c r="C418" s="440"/>
      <c r="D418" s="421"/>
      <c r="E418" s="211"/>
      <c r="F418" s="331" t="s">
        <v>389</v>
      </c>
      <c r="G418" s="334">
        <v>120000000</v>
      </c>
      <c r="H418" s="267" t="s">
        <v>376</v>
      </c>
    </row>
    <row r="419" spans="2:8" x14ac:dyDescent="0.25">
      <c r="B419" s="438"/>
      <c r="C419" s="440"/>
      <c r="D419" s="421"/>
      <c r="E419" s="211"/>
      <c r="F419" s="331" t="s">
        <v>639</v>
      </c>
      <c r="G419" s="334">
        <v>960000000</v>
      </c>
      <c r="H419" s="267" t="s">
        <v>376</v>
      </c>
    </row>
    <row r="420" spans="2:8" ht="15.75" thickBot="1" x14ac:dyDescent="0.3">
      <c r="B420" s="438"/>
      <c r="C420" s="440"/>
      <c r="D420" s="421"/>
      <c r="E420" s="211"/>
      <c r="F420" s="331" t="s">
        <v>629</v>
      </c>
      <c r="G420" s="334">
        <v>60000000</v>
      </c>
      <c r="H420" s="267" t="s">
        <v>376</v>
      </c>
    </row>
    <row r="421" spans="2:8" ht="15.75" thickBot="1" x14ac:dyDescent="0.3">
      <c r="B421" s="438"/>
      <c r="C421" s="440"/>
      <c r="D421" s="435"/>
      <c r="E421" s="728" t="s">
        <v>446</v>
      </c>
      <c r="F421" s="809"/>
      <c r="G421" s="489">
        <f>SUM(G417:G420)</f>
        <v>1200000000</v>
      </c>
      <c r="H421" s="297"/>
    </row>
    <row r="422" spans="2:8" ht="28.5" x14ac:dyDescent="0.25">
      <c r="B422" s="438"/>
      <c r="C422" s="440"/>
      <c r="D422" s="435"/>
      <c r="E422" s="221" t="s">
        <v>1349</v>
      </c>
      <c r="F422" s="213" t="s">
        <v>529</v>
      </c>
      <c r="G422" s="333">
        <v>250000</v>
      </c>
      <c r="H422" s="222" t="s">
        <v>376</v>
      </c>
    </row>
    <row r="423" spans="2:8" x14ac:dyDescent="0.25">
      <c r="B423" s="438"/>
      <c r="C423" s="440"/>
      <c r="D423" s="421"/>
      <c r="E423" s="211"/>
      <c r="F423" s="233" t="s">
        <v>530</v>
      </c>
      <c r="G423" s="334">
        <v>4500000</v>
      </c>
      <c r="H423" s="267" t="s">
        <v>376</v>
      </c>
    </row>
    <row r="424" spans="2:8" ht="15.75" thickBot="1" x14ac:dyDescent="0.3">
      <c r="B424" s="438"/>
      <c r="C424" s="440"/>
      <c r="D424" s="421"/>
      <c r="E424" s="211"/>
      <c r="F424" s="233" t="s">
        <v>726</v>
      </c>
      <c r="G424" s="334">
        <v>250000</v>
      </c>
      <c r="H424" s="267" t="s">
        <v>376</v>
      </c>
    </row>
    <row r="425" spans="2:8" ht="15.75" thickBot="1" x14ac:dyDescent="0.3">
      <c r="B425" s="438"/>
      <c r="C425" s="440"/>
      <c r="D425" s="435"/>
      <c r="E425" s="728" t="s">
        <v>447</v>
      </c>
      <c r="F425" s="809"/>
      <c r="G425" s="489">
        <f>SUM(G422:G424)</f>
        <v>5000000</v>
      </c>
      <c r="H425" s="297"/>
    </row>
    <row r="426" spans="2:8" ht="15.75" thickBot="1" x14ac:dyDescent="0.3">
      <c r="B426" s="438"/>
      <c r="C426" s="440"/>
      <c r="D426" s="435"/>
      <c r="E426" s="219" t="s">
        <v>1350</v>
      </c>
      <c r="F426" s="331" t="s">
        <v>388</v>
      </c>
      <c r="G426" s="334">
        <v>16000000</v>
      </c>
      <c r="H426" s="35" t="s">
        <v>376</v>
      </c>
    </row>
    <row r="427" spans="2:8" x14ac:dyDescent="0.25">
      <c r="B427" s="438"/>
      <c r="C427" s="440"/>
      <c r="D427" s="894"/>
      <c r="E427" s="220"/>
      <c r="F427" s="347" t="s">
        <v>389</v>
      </c>
      <c r="G427" s="333">
        <v>32000000</v>
      </c>
      <c r="H427" s="222" t="s">
        <v>376</v>
      </c>
    </row>
    <row r="428" spans="2:8" x14ac:dyDescent="0.25">
      <c r="B428" s="438"/>
      <c r="C428" s="440"/>
      <c r="D428" s="894"/>
      <c r="E428" s="223"/>
      <c r="F428" s="331" t="s">
        <v>639</v>
      </c>
      <c r="G428" s="334">
        <v>320000000</v>
      </c>
      <c r="H428" s="267" t="s">
        <v>376</v>
      </c>
    </row>
    <row r="429" spans="2:8" ht="15.75" thickBot="1" x14ac:dyDescent="0.3">
      <c r="B429" s="438"/>
      <c r="C429" s="440"/>
      <c r="D429" s="894"/>
      <c r="E429" s="313"/>
      <c r="F429" s="332" t="s">
        <v>629</v>
      </c>
      <c r="G429" s="337">
        <v>16000000</v>
      </c>
      <c r="H429" s="298" t="s">
        <v>376</v>
      </c>
    </row>
    <row r="430" spans="2:8" ht="15.75" thickBot="1" x14ac:dyDescent="0.3">
      <c r="B430" s="438"/>
      <c r="C430" s="440"/>
      <c r="D430" s="892"/>
      <c r="E430" s="305" t="s">
        <v>449</v>
      </c>
      <c r="F430" s="234"/>
      <c r="G430" s="335">
        <f>SUM(G426:G429)</f>
        <v>384000000</v>
      </c>
      <c r="H430" s="13"/>
    </row>
    <row r="431" spans="2:8" x14ac:dyDescent="0.25">
      <c r="B431" s="438"/>
      <c r="C431" s="440"/>
      <c r="D431" s="894"/>
      <c r="E431" s="933" t="s">
        <v>727</v>
      </c>
      <c r="F431" s="232" t="s">
        <v>529</v>
      </c>
      <c r="G431" s="333">
        <v>250000</v>
      </c>
      <c r="H431" s="266" t="s">
        <v>451</v>
      </c>
    </row>
    <row r="432" spans="2:8" x14ac:dyDescent="0.25">
      <c r="B432" s="438"/>
      <c r="C432" s="440"/>
      <c r="D432" s="894"/>
      <c r="E432" s="934"/>
      <c r="F432" s="233" t="s">
        <v>530</v>
      </c>
      <c r="G432" s="334">
        <v>17500000</v>
      </c>
      <c r="H432" s="267" t="s">
        <v>376</v>
      </c>
    </row>
    <row r="433" spans="2:8" ht="15.75" thickBot="1" x14ac:dyDescent="0.3">
      <c r="B433" s="438"/>
      <c r="C433" s="440"/>
      <c r="D433" s="894"/>
      <c r="E433" s="935"/>
      <c r="F433" s="353" t="s">
        <v>726</v>
      </c>
      <c r="G433" s="337">
        <v>1750000</v>
      </c>
      <c r="H433" s="298" t="s">
        <v>376</v>
      </c>
    </row>
    <row r="434" spans="2:8" ht="15.75" thickBot="1" x14ac:dyDescent="0.3">
      <c r="B434" s="438"/>
      <c r="C434" s="440"/>
      <c r="D434" s="892"/>
      <c r="E434" s="305" t="s">
        <v>452</v>
      </c>
      <c r="F434" s="234"/>
      <c r="G434" s="335">
        <f>SUM(G431:G433)</f>
        <v>19500000</v>
      </c>
      <c r="H434" s="35" t="s">
        <v>376</v>
      </c>
    </row>
    <row r="435" spans="2:8" ht="28.5" x14ac:dyDescent="0.25">
      <c r="B435" s="438"/>
      <c r="C435" s="440"/>
      <c r="D435" s="894"/>
      <c r="E435" s="220" t="s">
        <v>728</v>
      </c>
      <c r="F435" s="347" t="s">
        <v>388</v>
      </c>
      <c r="G435" s="333">
        <v>6000000</v>
      </c>
      <c r="H435" s="266" t="s">
        <v>376</v>
      </c>
    </row>
    <row r="436" spans="2:8" x14ac:dyDescent="0.25">
      <c r="B436" s="438"/>
      <c r="C436" s="440"/>
      <c r="D436" s="894"/>
      <c r="E436" s="223"/>
      <c r="F436" s="331" t="s">
        <v>389</v>
      </c>
      <c r="G436" s="334">
        <v>12000000</v>
      </c>
      <c r="H436" s="267" t="s">
        <v>376</v>
      </c>
    </row>
    <row r="437" spans="2:8" x14ac:dyDescent="0.25">
      <c r="B437" s="438"/>
      <c r="C437" s="440"/>
      <c r="D437" s="894"/>
      <c r="E437" s="223"/>
      <c r="F437" s="331" t="s">
        <v>639</v>
      </c>
      <c r="G437" s="334">
        <v>120000000</v>
      </c>
      <c r="H437" s="224" t="s">
        <v>376</v>
      </c>
    </row>
    <row r="438" spans="2:8" ht="15.75" thickBot="1" x14ac:dyDescent="0.3">
      <c r="B438" s="438"/>
      <c r="C438" s="440"/>
      <c r="D438" s="894"/>
      <c r="E438" s="313"/>
      <c r="F438" s="332" t="s">
        <v>629</v>
      </c>
      <c r="G438" s="337">
        <v>6000000</v>
      </c>
      <c r="H438" s="298" t="s">
        <v>376</v>
      </c>
    </row>
    <row r="439" spans="2:8" ht="15.75" thickBot="1" x14ac:dyDescent="0.3">
      <c r="B439" s="438"/>
      <c r="C439" s="440"/>
      <c r="D439" s="892"/>
      <c r="E439" s="305" t="s">
        <v>459</v>
      </c>
      <c r="F439" s="234"/>
      <c r="G439" s="335">
        <f>SUM(G435:G438)</f>
        <v>144000000</v>
      </c>
      <c r="H439" s="13"/>
    </row>
    <row r="440" spans="2:8" x14ac:dyDescent="0.25">
      <c r="B440" s="438"/>
      <c r="C440" s="440"/>
      <c r="D440" s="894"/>
      <c r="E440" s="933" t="s">
        <v>729</v>
      </c>
      <c r="F440" s="232" t="s">
        <v>529</v>
      </c>
      <c r="G440" s="333">
        <v>250000</v>
      </c>
      <c r="H440" s="266" t="s">
        <v>376</v>
      </c>
    </row>
    <row r="441" spans="2:8" x14ac:dyDescent="0.25">
      <c r="B441" s="438"/>
      <c r="C441" s="440"/>
      <c r="D441" s="894"/>
      <c r="E441" s="934"/>
      <c r="F441" s="233" t="s">
        <v>530</v>
      </c>
      <c r="G441" s="334">
        <v>4500000</v>
      </c>
      <c r="H441" s="267" t="s">
        <v>376</v>
      </c>
    </row>
    <row r="442" spans="2:8" ht="15.75" thickBot="1" x14ac:dyDescent="0.3">
      <c r="B442" s="438"/>
      <c r="C442" s="440"/>
      <c r="D442" s="894"/>
      <c r="E442" s="935"/>
      <c r="F442" s="353" t="s">
        <v>726</v>
      </c>
      <c r="G442" s="337">
        <v>250000</v>
      </c>
      <c r="H442" s="298" t="s">
        <v>376</v>
      </c>
    </row>
    <row r="443" spans="2:8" ht="15.75" thickBot="1" x14ac:dyDescent="0.3">
      <c r="B443" s="438"/>
      <c r="C443" s="440"/>
      <c r="D443" s="892"/>
      <c r="E443" s="305" t="s">
        <v>730</v>
      </c>
      <c r="F443" s="234"/>
      <c r="G443" s="335">
        <f>SUM(G440:G442)</f>
        <v>5000000</v>
      </c>
      <c r="H443" s="35" t="s">
        <v>376</v>
      </c>
    </row>
    <row r="444" spans="2:8" x14ac:dyDescent="0.25">
      <c r="B444" s="438"/>
      <c r="C444" s="440"/>
      <c r="D444" s="894"/>
      <c r="E444" s="299" t="s">
        <v>731</v>
      </c>
      <c r="F444" s="232" t="s">
        <v>529</v>
      </c>
      <c r="G444" s="333">
        <v>150000</v>
      </c>
      <c r="H444" s="266" t="s">
        <v>376</v>
      </c>
    </row>
    <row r="445" spans="2:8" x14ac:dyDescent="0.25">
      <c r="B445" s="438"/>
      <c r="C445" s="440"/>
      <c r="D445" s="416"/>
      <c r="E445" s="300"/>
      <c r="F445" s="233" t="s">
        <v>530</v>
      </c>
      <c r="G445" s="334">
        <v>3000000</v>
      </c>
      <c r="H445" s="267" t="s">
        <v>376</v>
      </c>
    </row>
    <row r="446" spans="2:8" ht="15.75" thickBot="1" x14ac:dyDescent="0.3">
      <c r="B446" s="438"/>
      <c r="C446" s="440"/>
      <c r="D446" s="416"/>
      <c r="E446" s="301"/>
      <c r="F446" s="353" t="s">
        <v>726</v>
      </c>
      <c r="G446" s="337">
        <v>150000</v>
      </c>
      <c r="H446" s="298" t="s">
        <v>376</v>
      </c>
    </row>
    <row r="447" spans="2:8" ht="15.75" thickBot="1" x14ac:dyDescent="0.3">
      <c r="B447" s="438"/>
      <c r="C447" s="440"/>
      <c r="D447" s="421"/>
      <c r="E447" s="31" t="s">
        <v>732</v>
      </c>
      <c r="F447" s="352"/>
      <c r="G447" s="338">
        <f>SUM(G444:G446)</f>
        <v>3300000</v>
      </c>
      <c r="H447" s="32" t="s">
        <v>376</v>
      </c>
    </row>
    <row r="448" spans="2:8" ht="29.25" thickBot="1" x14ac:dyDescent="0.3">
      <c r="B448" s="438"/>
      <c r="C448" s="440"/>
      <c r="D448" s="421"/>
      <c r="E448" s="259" t="s">
        <v>1351</v>
      </c>
      <c r="F448" s="354" t="s">
        <v>1352</v>
      </c>
      <c r="G448" s="339">
        <v>400000</v>
      </c>
      <c r="H448" s="174" t="s">
        <v>376</v>
      </c>
    </row>
    <row r="449" spans="2:8" ht="28.5" x14ac:dyDescent="0.25">
      <c r="B449" s="438"/>
      <c r="C449" s="440"/>
      <c r="D449" s="416"/>
      <c r="E449" s="299" t="s">
        <v>733</v>
      </c>
      <c r="F449" s="232" t="s">
        <v>529</v>
      </c>
      <c r="G449" s="333">
        <v>250000</v>
      </c>
      <c r="H449" s="266" t="s">
        <v>376</v>
      </c>
    </row>
    <row r="450" spans="2:8" x14ac:dyDescent="0.25">
      <c r="B450" s="438"/>
      <c r="C450" s="440"/>
      <c r="D450" s="416"/>
      <c r="E450" s="300"/>
      <c r="F450" s="233" t="s">
        <v>530</v>
      </c>
      <c r="G450" s="334">
        <v>4500000</v>
      </c>
      <c r="H450" s="267" t="s">
        <v>376</v>
      </c>
    </row>
    <row r="451" spans="2:8" ht="15.75" thickBot="1" x14ac:dyDescent="0.3">
      <c r="B451" s="438"/>
      <c r="C451" s="440"/>
      <c r="D451" s="416"/>
      <c r="E451" s="301"/>
      <c r="F451" s="353" t="s">
        <v>726</v>
      </c>
      <c r="G451" s="337">
        <v>250000</v>
      </c>
      <c r="H451" s="298" t="s">
        <v>376</v>
      </c>
    </row>
    <row r="452" spans="2:8" ht="15.75" thickBot="1" x14ac:dyDescent="0.3">
      <c r="B452" s="438"/>
      <c r="C452" s="440"/>
      <c r="D452" s="421"/>
      <c r="E452" s="345" t="s">
        <v>734</v>
      </c>
      <c r="F452" s="352"/>
      <c r="G452" s="338">
        <f>SUM(G448:G451)</f>
        <v>5400000</v>
      </c>
      <c r="H452" s="32" t="s">
        <v>376</v>
      </c>
    </row>
    <row r="453" spans="2:8" ht="29.25" thickBot="1" x14ac:dyDescent="0.3">
      <c r="B453" s="438"/>
      <c r="C453" s="440"/>
      <c r="D453" s="421"/>
      <c r="E453" s="259" t="s">
        <v>1353</v>
      </c>
      <c r="F453" s="767" t="s">
        <v>1354</v>
      </c>
      <c r="G453" s="339" t="s">
        <v>20</v>
      </c>
      <c r="H453" s="174" t="s">
        <v>376</v>
      </c>
    </row>
    <row r="454" spans="2:8" ht="15.75" thickBot="1" x14ac:dyDescent="0.3">
      <c r="B454" s="438"/>
      <c r="C454" s="440"/>
      <c r="D454" s="832" t="s">
        <v>735</v>
      </c>
      <c r="E454" s="833"/>
      <c r="F454" s="834"/>
      <c r="G454" s="835">
        <f>G452+G447+G443+G439+G434+G430+G425+G421</f>
        <v>1766200000</v>
      </c>
      <c r="H454" s="836"/>
    </row>
    <row r="455" spans="2:8" ht="15.75" thickBot="1" x14ac:dyDescent="0.3">
      <c r="B455" s="443" t="s">
        <v>1197</v>
      </c>
      <c r="C455" s="443" t="s">
        <v>1361</v>
      </c>
      <c r="D455" s="406"/>
      <c r="E455" s="183" t="s">
        <v>22</v>
      </c>
      <c r="F455" s="231" t="s">
        <v>27</v>
      </c>
      <c r="G455" s="326" t="s">
        <v>362</v>
      </c>
      <c r="H455" s="265" t="s">
        <v>1175</v>
      </c>
    </row>
    <row r="456" spans="2:8" ht="30.75" thickBot="1" x14ac:dyDescent="0.3">
      <c r="B456" s="438" t="s">
        <v>1363</v>
      </c>
      <c r="C456" s="440" t="s">
        <v>1362</v>
      </c>
      <c r="D456" s="229" t="s">
        <v>23</v>
      </c>
      <c r="E456" s="294" t="s">
        <v>1364</v>
      </c>
      <c r="F456" s="357"/>
      <c r="G456" s="478"/>
      <c r="H456" s="356"/>
    </row>
    <row r="457" spans="2:8" ht="78.75" customHeight="1" thickBot="1" x14ac:dyDescent="0.3">
      <c r="B457" s="438"/>
      <c r="C457" s="440"/>
      <c r="D457" s="217" t="s">
        <v>24</v>
      </c>
      <c r="E457" s="532" t="s">
        <v>736</v>
      </c>
      <c r="F457" s="249" t="s">
        <v>1641</v>
      </c>
      <c r="G457" s="557" t="s">
        <v>1642</v>
      </c>
      <c r="H457" s="454" t="s">
        <v>633</v>
      </c>
    </row>
    <row r="458" spans="2:8" ht="29.25" thickBot="1" x14ac:dyDescent="0.3">
      <c r="B458" s="438"/>
      <c r="C458" s="440"/>
      <c r="D458" s="416"/>
      <c r="E458" s="35" t="s">
        <v>1365</v>
      </c>
      <c r="F458" s="35" t="s">
        <v>1366</v>
      </c>
      <c r="G458" s="748" t="s">
        <v>737</v>
      </c>
      <c r="H458" s="453" t="s">
        <v>376</v>
      </c>
    </row>
    <row r="459" spans="2:8" ht="30" thickBot="1" x14ac:dyDescent="0.3">
      <c r="B459" s="438"/>
      <c r="C459" s="534"/>
      <c r="D459" s="755" t="s">
        <v>25</v>
      </c>
      <c r="E459" s="231" t="s">
        <v>1367</v>
      </c>
      <c r="F459" s="200" t="s">
        <v>738</v>
      </c>
      <c r="G459" s="708" t="s">
        <v>737</v>
      </c>
      <c r="H459" s="454" t="s">
        <v>376</v>
      </c>
    </row>
    <row r="460" spans="2:8" ht="30" thickBot="1" x14ac:dyDescent="0.3">
      <c r="B460" s="438"/>
      <c r="C460" s="534"/>
      <c r="D460" s="754"/>
      <c r="E460" s="231" t="s">
        <v>1368</v>
      </c>
      <c r="F460" s="249" t="s">
        <v>1370</v>
      </c>
      <c r="G460" s="708" t="s">
        <v>739</v>
      </c>
      <c r="H460" s="454" t="s">
        <v>376</v>
      </c>
    </row>
    <row r="461" spans="2:8" ht="28.5" customHeight="1" thickBot="1" x14ac:dyDescent="0.3">
      <c r="B461" s="438"/>
      <c r="C461" s="534"/>
      <c r="D461" s="909"/>
      <c r="E461" s="249" t="s">
        <v>1369</v>
      </c>
      <c r="F461" s="249" t="s">
        <v>1371</v>
      </c>
      <c r="G461" s="708" t="s">
        <v>739</v>
      </c>
      <c r="H461" s="201" t="s">
        <v>376</v>
      </c>
    </row>
    <row r="462" spans="2:8" ht="30" thickBot="1" x14ac:dyDescent="0.3">
      <c r="B462" s="438"/>
      <c r="C462" s="534"/>
      <c r="D462" s="915"/>
      <c r="E462" s="753" t="s">
        <v>740</v>
      </c>
      <c r="F462" s="753" t="s">
        <v>741</v>
      </c>
      <c r="G462" s="559" t="s">
        <v>742</v>
      </c>
      <c r="H462" s="753" t="s">
        <v>376</v>
      </c>
    </row>
    <row r="463" spans="2:8" ht="15.75" thickBot="1" x14ac:dyDescent="0.3">
      <c r="B463" s="438"/>
      <c r="C463" s="440"/>
      <c r="D463" s="896" t="s">
        <v>26</v>
      </c>
      <c r="E463" s="117"/>
      <c r="F463" s="731" t="s">
        <v>64</v>
      </c>
      <c r="G463" s="823" t="s">
        <v>21</v>
      </c>
      <c r="H463" s="265" t="s">
        <v>934</v>
      </c>
    </row>
    <row r="464" spans="2:8" ht="15.75" thickBot="1" x14ac:dyDescent="0.3">
      <c r="B464" s="438"/>
      <c r="C464" s="440"/>
      <c r="D464" s="896"/>
      <c r="E464" s="456" t="s">
        <v>743</v>
      </c>
      <c r="F464" s="340" t="s">
        <v>388</v>
      </c>
      <c r="G464" s="824">
        <v>50000000</v>
      </c>
      <c r="H464" s="328" t="s">
        <v>633</v>
      </c>
    </row>
    <row r="465" spans="2:8" ht="15.75" thickBot="1" x14ac:dyDescent="0.3">
      <c r="B465" s="438"/>
      <c r="C465" s="440"/>
      <c r="D465" s="896"/>
      <c r="E465" s="455" t="s">
        <v>744</v>
      </c>
      <c r="F465" s="340" t="s">
        <v>389</v>
      </c>
      <c r="G465" s="824">
        <v>100000000</v>
      </c>
      <c r="H465" s="294" t="s">
        <v>376</v>
      </c>
    </row>
    <row r="466" spans="2:8" ht="78.75" thickBot="1" x14ac:dyDescent="0.3">
      <c r="B466" s="438"/>
      <c r="C466" s="440"/>
      <c r="D466" s="896"/>
      <c r="E466" s="293" t="s">
        <v>745</v>
      </c>
      <c r="F466" s="340" t="s">
        <v>639</v>
      </c>
      <c r="G466" s="824">
        <v>9800000000</v>
      </c>
      <c r="H466" s="294" t="s">
        <v>376</v>
      </c>
    </row>
    <row r="467" spans="2:8" ht="102.75" thickBot="1" x14ac:dyDescent="0.3">
      <c r="B467" s="438"/>
      <c r="C467" s="440"/>
      <c r="D467" s="897"/>
      <c r="E467" s="310" t="s">
        <v>746</v>
      </c>
      <c r="F467" s="819" t="s">
        <v>747</v>
      </c>
      <c r="G467" s="730">
        <v>50000000</v>
      </c>
      <c r="H467" s="32" t="s">
        <v>376</v>
      </c>
    </row>
    <row r="468" spans="2:8" ht="15.75" thickBot="1" x14ac:dyDescent="0.3">
      <c r="B468" s="438"/>
      <c r="C468" s="440"/>
      <c r="D468" s="897"/>
      <c r="E468" s="360" t="s">
        <v>569</v>
      </c>
      <c r="F468" s="766"/>
      <c r="G468" s="335">
        <f>SUM(G464:G467)</f>
        <v>10000000000</v>
      </c>
      <c r="H468" s="365"/>
    </row>
    <row r="469" spans="2:8" ht="72" thickBot="1" x14ac:dyDescent="0.3">
      <c r="B469" s="438"/>
      <c r="C469" s="440"/>
      <c r="D469" s="896"/>
      <c r="E469" s="232" t="s">
        <v>1372</v>
      </c>
      <c r="F469" s="820" t="s">
        <v>388</v>
      </c>
      <c r="G469" s="333">
        <v>1500000</v>
      </c>
      <c r="H469" s="222" t="s">
        <v>376</v>
      </c>
    </row>
    <row r="470" spans="2:8" x14ac:dyDescent="0.25">
      <c r="B470" s="438"/>
      <c r="C470" s="440"/>
      <c r="D470" s="936"/>
      <c r="E470" s="233"/>
      <c r="F470" s="821" t="s">
        <v>389</v>
      </c>
      <c r="G470" s="334">
        <v>3000000</v>
      </c>
      <c r="H470" s="224" t="s">
        <v>376</v>
      </c>
    </row>
    <row r="471" spans="2:8" x14ac:dyDescent="0.25">
      <c r="B471" s="438"/>
      <c r="C471" s="440"/>
      <c r="D471" s="894"/>
      <c r="E471" s="331"/>
      <c r="F471" s="821" t="s">
        <v>639</v>
      </c>
      <c r="G471" s="334">
        <v>26000000</v>
      </c>
      <c r="H471" s="224" t="s">
        <v>376</v>
      </c>
    </row>
    <row r="472" spans="2:8" ht="15.75" thickBot="1" x14ac:dyDescent="0.3">
      <c r="B472" s="438"/>
      <c r="C472" s="440"/>
      <c r="D472" s="894"/>
      <c r="E472" s="363"/>
      <c r="F472" s="822" t="s">
        <v>747</v>
      </c>
      <c r="G472" s="337">
        <v>1500000</v>
      </c>
      <c r="H472" s="298" t="s">
        <v>376</v>
      </c>
    </row>
    <row r="473" spans="2:8" ht="15.75" thickBot="1" x14ac:dyDescent="0.3">
      <c r="B473" s="438"/>
      <c r="C473" s="440"/>
      <c r="D473" s="893"/>
      <c r="E473" s="263" t="s">
        <v>570</v>
      </c>
      <c r="F473" s="15"/>
      <c r="G473" s="338">
        <f>SUM(G469:G472)</f>
        <v>32000000</v>
      </c>
      <c r="H473" s="14"/>
    </row>
    <row r="474" spans="2:8" ht="15.75" thickBot="1" x14ac:dyDescent="0.3">
      <c r="B474" s="438"/>
      <c r="C474" s="440"/>
      <c r="D474" s="893"/>
      <c r="E474" s="26"/>
      <c r="F474" s="341" t="s">
        <v>529</v>
      </c>
      <c r="G474" s="730">
        <v>200000</v>
      </c>
      <c r="H474" s="32" t="s">
        <v>376</v>
      </c>
    </row>
    <row r="475" spans="2:8" ht="28.5" thickBot="1" x14ac:dyDescent="0.3">
      <c r="B475" s="438"/>
      <c r="C475" s="440"/>
      <c r="D475" s="893"/>
      <c r="E475" s="206" t="s">
        <v>748</v>
      </c>
      <c r="F475" s="341" t="s">
        <v>530</v>
      </c>
      <c r="G475" s="730">
        <v>3600000</v>
      </c>
      <c r="H475" s="32" t="s">
        <v>376</v>
      </c>
    </row>
    <row r="476" spans="2:8" ht="15.75" thickBot="1" x14ac:dyDescent="0.3">
      <c r="B476" s="438"/>
      <c r="C476" s="440"/>
      <c r="D476" s="893"/>
      <c r="E476" s="14"/>
      <c r="F476" s="341" t="s">
        <v>726</v>
      </c>
      <c r="G476" s="730">
        <v>200000</v>
      </c>
      <c r="H476" s="32" t="s">
        <v>376</v>
      </c>
    </row>
    <row r="477" spans="2:8" ht="15.75" thickBot="1" x14ac:dyDescent="0.3">
      <c r="B477" s="438"/>
      <c r="C477" s="440"/>
      <c r="D477" s="893"/>
      <c r="E477" s="263" t="s">
        <v>572</v>
      </c>
      <c r="F477" s="15"/>
      <c r="G477" s="338">
        <f>SUM(G474:G476)</f>
        <v>4000000</v>
      </c>
      <c r="H477" s="32" t="s">
        <v>376</v>
      </c>
    </row>
    <row r="478" spans="2:8" ht="15.75" thickBot="1" x14ac:dyDescent="0.3">
      <c r="B478" s="438"/>
      <c r="C478" s="440"/>
      <c r="D478" s="893"/>
      <c r="E478" s="206" t="s">
        <v>749</v>
      </c>
      <c r="F478" s="341" t="s">
        <v>529</v>
      </c>
      <c r="G478" s="730">
        <v>50000</v>
      </c>
      <c r="H478" s="32" t="s">
        <v>376</v>
      </c>
    </row>
    <row r="479" spans="2:8" ht="27.75" thickBot="1" x14ac:dyDescent="0.3">
      <c r="B479" s="438"/>
      <c r="C479" s="440"/>
      <c r="D479" s="893"/>
      <c r="E479" s="35" t="s">
        <v>750</v>
      </c>
      <c r="F479" s="341" t="s">
        <v>530</v>
      </c>
      <c r="G479" s="730">
        <v>1900000</v>
      </c>
      <c r="H479" s="32" t="s">
        <v>376</v>
      </c>
    </row>
    <row r="480" spans="2:8" ht="15.75" thickBot="1" x14ac:dyDescent="0.3">
      <c r="B480" s="438"/>
      <c r="C480" s="440"/>
      <c r="D480" s="893"/>
      <c r="E480" s="14"/>
      <c r="F480" s="341" t="s">
        <v>726</v>
      </c>
      <c r="G480" s="730">
        <v>50000</v>
      </c>
      <c r="H480" s="32" t="s">
        <v>376</v>
      </c>
    </row>
    <row r="481" spans="2:8" ht="15.75" thickBot="1" x14ac:dyDescent="0.3">
      <c r="B481" s="438"/>
      <c r="C481" s="440"/>
      <c r="D481" s="895"/>
      <c r="E481" s="263" t="s">
        <v>573</v>
      </c>
      <c r="F481" s="15"/>
      <c r="G481" s="338">
        <f>SUM(G478:G480)</f>
        <v>2000000</v>
      </c>
      <c r="H481" s="32" t="s">
        <v>376</v>
      </c>
    </row>
    <row r="482" spans="2:8" ht="15.75" thickBot="1" x14ac:dyDescent="0.3">
      <c r="B482" s="438"/>
      <c r="C482" s="440"/>
      <c r="D482" s="784" t="s">
        <v>751</v>
      </c>
      <c r="E482" s="784"/>
      <c r="F482" s="784"/>
      <c r="G482" s="785">
        <f>G481+G477+G473+G468</f>
        <v>10038000000</v>
      </c>
      <c r="H482" s="778"/>
    </row>
    <row r="483" spans="2:8" ht="15.75" thickBot="1" x14ac:dyDescent="0.3">
      <c r="B483" s="443" t="s">
        <v>1197</v>
      </c>
      <c r="C483" s="443" t="s">
        <v>1373</v>
      </c>
      <c r="D483" s="406"/>
      <c r="E483" s="183" t="s">
        <v>22</v>
      </c>
      <c r="F483" s="231" t="s">
        <v>27</v>
      </c>
      <c r="G483" s="326" t="s">
        <v>362</v>
      </c>
      <c r="H483" s="265" t="s">
        <v>1175</v>
      </c>
    </row>
    <row r="484" spans="2:8" ht="29.25" customHeight="1" thickBot="1" x14ac:dyDescent="0.3">
      <c r="B484" s="438" t="s">
        <v>10</v>
      </c>
      <c r="C484" s="440" t="s">
        <v>1374</v>
      </c>
      <c r="D484" s="366" t="s">
        <v>23</v>
      </c>
      <c r="E484" s="361" t="s">
        <v>752</v>
      </c>
      <c r="F484" s="723"/>
      <c r="G484" s="559"/>
      <c r="H484" s="723"/>
    </row>
    <row r="485" spans="2:8" ht="43.5" thickBot="1" x14ac:dyDescent="0.3">
      <c r="B485" s="438"/>
      <c r="C485" s="440"/>
      <c r="D485" s="217" t="s">
        <v>24</v>
      </c>
      <c r="E485" s="703" t="s">
        <v>753</v>
      </c>
      <c r="F485" s="249" t="s">
        <v>1643</v>
      </c>
      <c r="G485" s="557" t="s">
        <v>1644</v>
      </c>
      <c r="H485" s="201" t="s">
        <v>550</v>
      </c>
    </row>
    <row r="486" spans="2:8" ht="57.75" thickBot="1" x14ac:dyDescent="0.3">
      <c r="B486" s="438"/>
      <c r="C486" s="440"/>
      <c r="D486" s="750"/>
      <c r="E486" s="703" t="s">
        <v>754</v>
      </c>
      <c r="F486" s="249" t="s">
        <v>1645</v>
      </c>
      <c r="G486" s="708" t="s">
        <v>755</v>
      </c>
      <c r="H486" s="201" t="s">
        <v>547</v>
      </c>
    </row>
    <row r="487" spans="2:8" ht="29.25" thickBot="1" x14ac:dyDescent="0.3">
      <c r="B487" s="438"/>
      <c r="C487" s="440"/>
      <c r="D487" s="416"/>
      <c r="E487" s="293" t="s">
        <v>1375</v>
      </c>
      <c r="F487" s="200" t="s">
        <v>756</v>
      </c>
      <c r="G487" s="743" t="s">
        <v>368</v>
      </c>
      <c r="H487" s="294" t="s">
        <v>547</v>
      </c>
    </row>
    <row r="488" spans="2:8" ht="29.25" thickBot="1" x14ac:dyDescent="0.3">
      <c r="B488" s="438"/>
      <c r="C488" s="534"/>
      <c r="D488" s="172" t="s">
        <v>25</v>
      </c>
      <c r="E488" s="355" t="s">
        <v>757</v>
      </c>
      <c r="F488" s="582" t="s">
        <v>758</v>
      </c>
      <c r="G488" s="557" t="s">
        <v>1646</v>
      </c>
      <c r="H488" s="201" t="s">
        <v>550</v>
      </c>
    </row>
    <row r="489" spans="2:8" ht="29.25" thickBot="1" x14ac:dyDescent="0.3">
      <c r="B489" s="438"/>
      <c r="C489" s="534"/>
      <c r="D489" s="754"/>
      <c r="E489" s="355" t="s">
        <v>1376</v>
      </c>
      <c r="F489" s="582" t="s">
        <v>759</v>
      </c>
      <c r="G489" s="557" t="s">
        <v>1647</v>
      </c>
      <c r="H489" s="201" t="s">
        <v>550</v>
      </c>
    </row>
    <row r="490" spans="2:8" ht="43.5" thickBot="1" x14ac:dyDescent="0.3">
      <c r="B490" s="438"/>
      <c r="C490" s="534"/>
      <c r="D490" s="747"/>
      <c r="E490" s="249" t="s">
        <v>1377</v>
      </c>
      <c r="F490" s="249" t="s">
        <v>1378</v>
      </c>
      <c r="G490" s="557" t="s">
        <v>1648</v>
      </c>
      <c r="H490" s="294" t="s">
        <v>547</v>
      </c>
    </row>
    <row r="491" spans="2:8" ht="43.5" thickBot="1" x14ac:dyDescent="0.3">
      <c r="B491" s="438"/>
      <c r="C491" s="534"/>
      <c r="D491" s="747"/>
      <c r="E491" s="582" t="s">
        <v>760</v>
      </c>
      <c r="F491" s="200" t="s">
        <v>761</v>
      </c>
      <c r="G491" s="557" t="s">
        <v>1648</v>
      </c>
      <c r="H491" s="201" t="s">
        <v>376</v>
      </c>
    </row>
    <row r="492" spans="2:8" ht="29.25" thickBot="1" x14ac:dyDescent="0.3">
      <c r="B492" s="438"/>
      <c r="C492" s="534"/>
      <c r="D492" s="747"/>
      <c r="E492" s="32" t="s">
        <v>762</v>
      </c>
      <c r="F492" s="32" t="s">
        <v>763</v>
      </c>
      <c r="G492" s="212" t="s">
        <v>764</v>
      </c>
      <c r="H492" s="32" t="s">
        <v>376</v>
      </c>
    </row>
    <row r="493" spans="2:8" ht="29.25" thickBot="1" x14ac:dyDescent="0.3">
      <c r="B493" s="438"/>
      <c r="C493" s="534"/>
      <c r="D493" s="754"/>
      <c r="E493" s="35" t="s">
        <v>1379</v>
      </c>
      <c r="F493" s="35" t="s">
        <v>1380</v>
      </c>
      <c r="G493" s="825" t="s">
        <v>764</v>
      </c>
      <c r="H493" s="163" t="s">
        <v>376</v>
      </c>
    </row>
    <row r="494" spans="2:8" ht="15.75" thickBot="1" x14ac:dyDescent="0.3">
      <c r="B494" s="438"/>
      <c r="C494" s="534"/>
      <c r="D494" s="931" t="s">
        <v>26</v>
      </c>
      <c r="E494" s="113"/>
      <c r="F494" s="731" t="s">
        <v>380</v>
      </c>
      <c r="G494" s="739" t="s">
        <v>21</v>
      </c>
      <c r="H494" s="265" t="s">
        <v>934</v>
      </c>
    </row>
    <row r="495" spans="2:8" ht="15.75" thickBot="1" x14ac:dyDescent="0.3">
      <c r="B495" s="438"/>
      <c r="C495" s="534"/>
      <c r="D495" s="932"/>
      <c r="E495" s="32" t="s">
        <v>765</v>
      </c>
      <c r="F495" s="341" t="s">
        <v>766</v>
      </c>
      <c r="G495" s="730">
        <v>400000</v>
      </c>
      <c r="H495" s="32" t="s">
        <v>550</v>
      </c>
    </row>
    <row r="496" spans="2:8" ht="15.75" thickBot="1" x14ac:dyDescent="0.3">
      <c r="B496" s="438"/>
      <c r="C496" s="534"/>
      <c r="D496" s="932"/>
      <c r="E496" s="174" t="s">
        <v>767</v>
      </c>
      <c r="F496" s="341" t="s">
        <v>388</v>
      </c>
      <c r="G496" s="730">
        <v>27500000</v>
      </c>
      <c r="H496" s="32" t="s">
        <v>376</v>
      </c>
    </row>
    <row r="497" spans="2:8" ht="15.75" thickBot="1" x14ac:dyDescent="0.3">
      <c r="B497" s="438"/>
      <c r="C497" s="534"/>
      <c r="D497" s="932"/>
      <c r="E497" s="9"/>
      <c r="F497" s="341" t="s">
        <v>389</v>
      </c>
      <c r="G497" s="730">
        <v>55000000</v>
      </c>
      <c r="H497" s="32" t="s">
        <v>376</v>
      </c>
    </row>
    <row r="498" spans="2:8" x14ac:dyDescent="0.25">
      <c r="B498" s="438"/>
      <c r="C498" s="534"/>
      <c r="D498" s="932"/>
      <c r="E498" s="9"/>
      <c r="F498" s="518" t="s">
        <v>530</v>
      </c>
      <c r="G498" s="943">
        <v>440000000</v>
      </c>
      <c r="H498" s="938" t="s">
        <v>376</v>
      </c>
    </row>
    <row r="499" spans="2:8" ht="15.75" thickBot="1" x14ac:dyDescent="0.3">
      <c r="B499" s="438"/>
      <c r="C499" s="534"/>
      <c r="D499" s="932"/>
      <c r="E499" s="9"/>
      <c r="F499" s="341" t="s">
        <v>527</v>
      </c>
      <c r="G499" s="944"/>
      <c r="H499" s="911"/>
    </row>
    <row r="500" spans="2:8" ht="15.75" thickBot="1" x14ac:dyDescent="0.3">
      <c r="B500" s="438"/>
      <c r="C500" s="534"/>
      <c r="D500" s="932"/>
      <c r="E500" s="196"/>
      <c r="F500" s="341" t="s">
        <v>568</v>
      </c>
      <c r="G500" s="730">
        <v>27500000</v>
      </c>
      <c r="H500" s="32" t="s">
        <v>376</v>
      </c>
    </row>
    <row r="501" spans="2:8" ht="15.75" thickBot="1" x14ac:dyDescent="0.3">
      <c r="B501" s="438"/>
      <c r="C501" s="534"/>
      <c r="D501" s="932"/>
      <c r="E501" s="263" t="s">
        <v>768</v>
      </c>
      <c r="F501" s="15"/>
      <c r="G501" s="338">
        <f>SUM(G495:G500)</f>
        <v>550400000</v>
      </c>
      <c r="H501" s="14"/>
    </row>
    <row r="502" spans="2:8" ht="29.25" thickBot="1" x14ac:dyDescent="0.3">
      <c r="B502" s="438"/>
      <c r="C502" s="534"/>
      <c r="D502" s="932"/>
      <c r="E502" s="32" t="s">
        <v>769</v>
      </c>
      <c r="F502" s="341" t="s">
        <v>766</v>
      </c>
      <c r="G502" s="730">
        <v>90000</v>
      </c>
      <c r="H502" s="32" t="s">
        <v>550</v>
      </c>
    </row>
    <row r="503" spans="2:8" ht="15.75" thickBot="1" x14ac:dyDescent="0.3">
      <c r="B503" s="438"/>
      <c r="C503" s="534"/>
      <c r="D503" s="932"/>
      <c r="E503" s="32" t="s">
        <v>1381</v>
      </c>
      <c r="F503" s="341" t="s">
        <v>388</v>
      </c>
      <c r="G503" s="730">
        <v>27500000</v>
      </c>
      <c r="H503" s="32" t="s">
        <v>550</v>
      </c>
    </row>
    <row r="504" spans="2:8" ht="15.75" thickBot="1" x14ac:dyDescent="0.3">
      <c r="B504" s="438"/>
      <c r="C504" s="534"/>
      <c r="D504" s="909"/>
      <c r="E504" s="9"/>
      <c r="F504" s="341" t="s">
        <v>389</v>
      </c>
      <c r="G504" s="826">
        <v>55000</v>
      </c>
      <c r="H504" s="32" t="s">
        <v>376</v>
      </c>
    </row>
    <row r="505" spans="2:8" ht="15.75" thickBot="1" x14ac:dyDescent="0.3">
      <c r="B505" s="438"/>
      <c r="C505" s="534"/>
      <c r="D505" s="909"/>
      <c r="E505" s="9"/>
      <c r="F505" s="341" t="s">
        <v>533</v>
      </c>
      <c r="G505" s="826">
        <v>440000000</v>
      </c>
      <c r="H505" s="32" t="s">
        <v>376</v>
      </c>
    </row>
    <row r="506" spans="2:8" ht="15.75" thickBot="1" x14ac:dyDescent="0.3">
      <c r="B506" s="438"/>
      <c r="C506" s="534"/>
      <c r="D506" s="909"/>
      <c r="E506" s="9"/>
      <c r="F506" s="518" t="s">
        <v>568</v>
      </c>
      <c r="G506" s="339">
        <v>27500000</v>
      </c>
      <c r="H506" s="174" t="s">
        <v>376</v>
      </c>
    </row>
    <row r="507" spans="2:8" ht="15.75" thickBot="1" x14ac:dyDescent="0.3">
      <c r="B507" s="438"/>
      <c r="C507" s="534"/>
      <c r="D507" s="909"/>
      <c r="E507" s="231" t="s">
        <v>770</v>
      </c>
      <c r="F507" s="729"/>
      <c r="G507" s="489">
        <f>SUM(G502:G506)</f>
        <v>495145000</v>
      </c>
      <c r="H507" s="297"/>
    </row>
    <row r="508" spans="2:8" ht="29.25" thickBot="1" x14ac:dyDescent="0.3">
      <c r="B508" s="438"/>
      <c r="C508" s="534"/>
      <c r="D508" s="909"/>
      <c r="E508" s="9" t="s">
        <v>771</v>
      </c>
      <c r="F508" s="341" t="s">
        <v>388</v>
      </c>
      <c r="G508" s="730">
        <v>5000000</v>
      </c>
      <c r="H508" s="32" t="s">
        <v>547</v>
      </c>
    </row>
    <row r="509" spans="2:8" ht="15.75" thickBot="1" x14ac:dyDescent="0.3">
      <c r="B509" s="438"/>
      <c r="C509" s="534"/>
      <c r="D509" s="909"/>
      <c r="E509" s="9"/>
      <c r="F509" s="518" t="s">
        <v>389</v>
      </c>
      <c r="G509" s="339">
        <v>10000</v>
      </c>
      <c r="H509" s="751" t="s">
        <v>376</v>
      </c>
    </row>
    <row r="510" spans="2:8" ht="15.75" thickBot="1" x14ac:dyDescent="0.3">
      <c r="B510" s="438"/>
      <c r="C510" s="534"/>
      <c r="D510" s="909"/>
      <c r="E510" s="9"/>
      <c r="F510" s="341" t="s">
        <v>533</v>
      </c>
      <c r="G510" s="826">
        <v>80000</v>
      </c>
      <c r="H510" s="32" t="s">
        <v>376</v>
      </c>
    </row>
    <row r="511" spans="2:8" ht="15.75" thickBot="1" x14ac:dyDescent="0.3">
      <c r="B511" s="438"/>
      <c r="C511" s="534"/>
      <c r="D511" s="909"/>
      <c r="E511" s="196"/>
      <c r="F511" s="341" t="s">
        <v>568</v>
      </c>
      <c r="G511" s="826">
        <v>5000</v>
      </c>
      <c r="H511" s="32" t="s">
        <v>376</v>
      </c>
    </row>
    <row r="512" spans="2:8" ht="15.75" thickBot="1" x14ac:dyDescent="0.3">
      <c r="B512" s="438"/>
      <c r="C512" s="534"/>
      <c r="D512" s="909"/>
      <c r="E512" s="263" t="s">
        <v>772</v>
      </c>
      <c r="F512" s="15"/>
      <c r="G512" s="827">
        <f>SUM(G508:G511)</f>
        <v>5095000</v>
      </c>
      <c r="H512" s="14"/>
    </row>
    <row r="513" spans="2:8" ht="15.75" thickBot="1" x14ac:dyDescent="0.3">
      <c r="B513" s="438"/>
      <c r="C513" s="534"/>
      <c r="D513" s="909"/>
      <c r="E513" s="938" t="s">
        <v>773</v>
      </c>
      <c r="F513" s="341" t="s">
        <v>529</v>
      </c>
      <c r="G513" s="826">
        <v>50000</v>
      </c>
      <c r="H513" s="32" t="s">
        <v>376</v>
      </c>
    </row>
    <row r="514" spans="2:8" ht="15.75" thickBot="1" x14ac:dyDescent="0.3">
      <c r="B514" s="438"/>
      <c r="C514" s="534"/>
      <c r="D514" s="909"/>
      <c r="E514" s="910"/>
      <c r="F514" s="341" t="s">
        <v>530</v>
      </c>
      <c r="G514" s="826">
        <v>5900</v>
      </c>
      <c r="H514" s="32" t="s">
        <v>376</v>
      </c>
    </row>
    <row r="515" spans="2:8" ht="15.75" thickBot="1" x14ac:dyDescent="0.3">
      <c r="B515" s="438"/>
      <c r="C515" s="534"/>
      <c r="D515" s="909"/>
      <c r="E515" s="911"/>
      <c r="F515" s="341" t="s">
        <v>726</v>
      </c>
      <c r="G515" s="826">
        <v>50000</v>
      </c>
      <c r="H515" s="32" t="s">
        <v>376</v>
      </c>
    </row>
    <row r="516" spans="2:8" ht="15.75" thickBot="1" x14ac:dyDescent="0.3">
      <c r="B516" s="438"/>
      <c r="C516" s="534"/>
      <c r="D516" s="909"/>
      <c r="E516" s="263" t="s">
        <v>774</v>
      </c>
      <c r="F516" s="15"/>
      <c r="G516" s="827">
        <f>SUM(G513:G515)</f>
        <v>105900</v>
      </c>
      <c r="H516" s="32" t="s">
        <v>376</v>
      </c>
    </row>
    <row r="517" spans="2:8" ht="15.75" thickBot="1" x14ac:dyDescent="0.3">
      <c r="B517" s="438"/>
      <c r="C517" s="534"/>
      <c r="D517" s="909"/>
      <c r="E517" s="32" t="s">
        <v>775</v>
      </c>
      <c r="F517" s="341" t="s">
        <v>776</v>
      </c>
      <c r="G517" s="826">
        <v>1200000</v>
      </c>
      <c r="H517" s="32" t="s">
        <v>376</v>
      </c>
    </row>
    <row r="518" spans="2:8" ht="15.75" thickBot="1" x14ac:dyDescent="0.3">
      <c r="B518" s="438"/>
      <c r="C518" s="534"/>
      <c r="D518" s="909"/>
      <c r="E518" s="360" t="s">
        <v>777</v>
      </c>
      <c r="F518" s="766"/>
      <c r="G518" s="828">
        <f>SUM(G517)</f>
        <v>1200000</v>
      </c>
      <c r="H518" s="365"/>
    </row>
    <row r="519" spans="2:8" ht="29.25" thickBot="1" x14ac:dyDescent="0.3">
      <c r="B519" s="438"/>
      <c r="C519" s="534"/>
      <c r="D519" s="915"/>
      <c r="E519" s="249" t="s">
        <v>1382</v>
      </c>
      <c r="F519" s="342" t="s">
        <v>1352</v>
      </c>
      <c r="G519" s="824">
        <v>100000000</v>
      </c>
      <c r="H519" s="297"/>
    </row>
    <row r="520" spans="2:8" ht="15.75" thickBot="1" x14ac:dyDescent="0.3">
      <c r="B520" s="438"/>
      <c r="C520" s="440"/>
      <c r="D520" s="750"/>
      <c r="E520" s="455" t="s">
        <v>914</v>
      </c>
      <c r="F520" s="342"/>
      <c r="G520" s="489">
        <f>SUM(G519)</f>
        <v>100000000</v>
      </c>
      <c r="H520" s="297"/>
    </row>
    <row r="521" spans="2:8" ht="15.75" thickBot="1" x14ac:dyDescent="0.3">
      <c r="B521" s="438"/>
      <c r="C521" s="440"/>
      <c r="D521" s="784" t="s">
        <v>778</v>
      </c>
      <c r="E521" s="783"/>
      <c r="F521" s="783"/>
      <c r="G521" s="785">
        <f>G520+G518+G512+G507+G501</f>
        <v>1151840000</v>
      </c>
      <c r="H521" s="837"/>
    </row>
    <row r="522" spans="2:8" ht="15.75" thickBot="1" x14ac:dyDescent="0.3">
      <c r="B522" s="443" t="s">
        <v>1197</v>
      </c>
      <c r="C522" s="443" t="s">
        <v>1383</v>
      </c>
      <c r="D522" s="406"/>
      <c r="E522" s="183" t="s">
        <v>22</v>
      </c>
      <c r="F522" s="231" t="s">
        <v>27</v>
      </c>
      <c r="G522" s="494" t="s">
        <v>362</v>
      </c>
      <c r="H522" s="265" t="s">
        <v>1175</v>
      </c>
    </row>
    <row r="523" spans="2:8" ht="28.5" customHeight="1" thickBot="1" x14ac:dyDescent="0.3">
      <c r="B523" s="438" t="s">
        <v>7</v>
      </c>
      <c r="C523" s="440" t="s">
        <v>1384</v>
      </c>
      <c r="D523" s="199" t="s">
        <v>23</v>
      </c>
      <c r="E523" s="249" t="s">
        <v>779</v>
      </c>
      <c r="F523" s="254"/>
      <c r="G523" s="495"/>
      <c r="H523" s="297"/>
    </row>
    <row r="524" spans="2:8" ht="100.5" thickBot="1" x14ac:dyDescent="0.3">
      <c r="B524" s="438"/>
      <c r="C524" s="440"/>
      <c r="D524" s="217" t="s">
        <v>24</v>
      </c>
      <c r="E524" s="532" t="s">
        <v>780</v>
      </c>
      <c r="F524" s="249" t="s">
        <v>1649</v>
      </c>
      <c r="G524" s="695" t="s">
        <v>1651</v>
      </c>
      <c r="H524" s="294" t="s">
        <v>1650</v>
      </c>
    </row>
    <row r="525" spans="2:8" ht="57.75" thickBot="1" x14ac:dyDescent="0.3">
      <c r="B525" s="438"/>
      <c r="C525" s="440"/>
      <c r="D525" s="750"/>
      <c r="E525" s="293" t="s">
        <v>1385</v>
      </c>
      <c r="F525" s="249" t="s">
        <v>1652</v>
      </c>
      <c r="G525" s="557" t="s">
        <v>1653</v>
      </c>
      <c r="H525" s="294" t="s">
        <v>1654</v>
      </c>
    </row>
    <row r="526" spans="2:8" ht="28.5" customHeight="1" thickBot="1" x14ac:dyDescent="0.3">
      <c r="B526" s="438"/>
      <c r="C526" s="440"/>
      <c r="D526" s="400" t="s">
        <v>25</v>
      </c>
      <c r="E526" s="532" t="s">
        <v>781</v>
      </c>
      <c r="F526" s="200" t="s">
        <v>782</v>
      </c>
      <c r="G526" s="557" t="s">
        <v>1655</v>
      </c>
      <c r="H526" s="201" t="s">
        <v>783</v>
      </c>
    </row>
    <row r="527" spans="2:8" ht="57.75" thickBot="1" x14ac:dyDescent="0.3">
      <c r="B527" s="438"/>
      <c r="C527" s="440"/>
      <c r="D527" s="399"/>
      <c r="E527" s="532" t="s">
        <v>784</v>
      </c>
      <c r="F527" s="249" t="s">
        <v>1674</v>
      </c>
      <c r="G527" s="323" t="s">
        <v>785</v>
      </c>
      <c r="H527" s="201" t="s">
        <v>786</v>
      </c>
    </row>
    <row r="528" spans="2:8" ht="29.25" thickBot="1" x14ac:dyDescent="0.3">
      <c r="B528" s="438"/>
      <c r="C528" s="440"/>
      <c r="D528" s="399"/>
      <c r="E528" s="293" t="s">
        <v>1386</v>
      </c>
      <c r="F528" s="249" t="s">
        <v>1387</v>
      </c>
      <c r="G528" s="498"/>
      <c r="H528" s="201" t="s">
        <v>786</v>
      </c>
    </row>
    <row r="529" spans="2:8" ht="43.5" thickBot="1" x14ac:dyDescent="0.3">
      <c r="B529" s="438"/>
      <c r="C529" s="440"/>
      <c r="D529" s="745"/>
      <c r="E529" s="753" t="s">
        <v>787</v>
      </c>
      <c r="F529" s="753" t="s">
        <v>788</v>
      </c>
      <c r="G529" s="157" t="s">
        <v>789</v>
      </c>
      <c r="H529" s="753" t="s">
        <v>376</v>
      </c>
    </row>
    <row r="530" spans="2:8" ht="43.5" thickBot="1" x14ac:dyDescent="0.3">
      <c r="B530" s="438"/>
      <c r="C530" s="440"/>
      <c r="D530" s="399"/>
      <c r="E530" s="532" t="s">
        <v>790</v>
      </c>
      <c r="F530" s="249" t="s">
        <v>1656</v>
      </c>
      <c r="G530" s="323" t="s">
        <v>791</v>
      </c>
      <c r="H530" s="201" t="s">
        <v>376</v>
      </c>
    </row>
    <row r="531" spans="2:8" ht="15.75" thickBot="1" x14ac:dyDescent="0.3">
      <c r="B531" s="438"/>
      <c r="C531" s="534"/>
      <c r="D531" s="172" t="s">
        <v>26</v>
      </c>
      <c r="E531" s="113"/>
      <c r="F531" s="162" t="s">
        <v>380</v>
      </c>
      <c r="G531" s="555" t="s">
        <v>21</v>
      </c>
      <c r="H531" s="265" t="s">
        <v>934</v>
      </c>
    </row>
    <row r="532" spans="2:8" ht="15.75" thickBot="1" x14ac:dyDescent="0.3">
      <c r="B532" s="438"/>
      <c r="C532" s="534"/>
      <c r="D532" s="556"/>
      <c r="E532" s="838"/>
      <c r="F532" s="200" t="s">
        <v>388</v>
      </c>
      <c r="G532" s="323">
        <v>30000000</v>
      </c>
      <c r="H532" s="294" t="s">
        <v>477</v>
      </c>
    </row>
    <row r="533" spans="2:8" ht="43.5" thickBot="1" x14ac:dyDescent="0.3">
      <c r="B533" s="438"/>
      <c r="C533" s="534"/>
      <c r="D533" s="556"/>
      <c r="E533" s="35" t="s">
        <v>792</v>
      </c>
      <c r="F533" s="32" t="s">
        <v>389</v>
      </c>
      <c r="G533" s="186">
        <v>60000000</v>
      </c>
      <c r="H533" s="32" t="s">
        <v>376</v>
      </c>
    </row>
    <row r="534" spans="2:8" ht="15.75" thickBot="1" x14ac:dyDescent="0.3">
      <c r="B534" s="438"/>
      <c r="C534" s="534"/>
      <c r="D534" s="556"/>
      <c r="E534" s="13"/>
      <c r="F534" s="32" t="s">
        <v>567</v>
      </c>
      <c r="G534" s="186">
        <v>480000000</v>
      </c>
      <c r="H534" s="32" t="s">
        <v>376</v>
      </c>
    </row>
    <row r="535" spans="2:8" ht="15.75" thickBot="1" x14ac:dyDescent="0.3">
      <c r="B535" s="438"/>
      <c r="C535" s="534"/>
      <c r="D535" s="556"/>
      <c r="E535" s="14"/>
      <c r="F535" s="32" t="s">
        <v>568</v>
      </c>
      <c r="G535" s="186">
        <v>30000000</v>
      </c>
      <c r="H535" s="32" t="s">
        <v>376</v>
      </c>
    </row>
    <row r="536" spans="2:8" ht="15.75" thickBot="1" x14ac:dyDescent="0.3">
      <c r="B536" s="438"/>
      <c r="C536" s="534"/>
      <c r="D536" s="556"/>
      <c r="E536" s="757" t="s">
        <v>664</v>
      </c>
      <c r="F536" s="723"/>
      <c r="G536" s="187">
        <f>SUM(G532:G535)</f>
        <v>600000000</v>
      </c>
      <c r="H536" s="723"/>
    </row>
    <row r="537" spans="2:8" ht="29.25" thickBot="1" x14ac:dyDescent="0.3">
      <c r="B537" s="438"/>
      <c r="C537" s="534"/>
      <c r="D537" s="556"/>
      <c r="E537" s="249" t="s">
        <v>1657</v>
      </c>
      <c r="F537" s="249" t="s">
        <v>1658</v>
      </c>
      <c r="G537" s="323">
        <v>2000000</v>
      </c>
      <c r="H537" s="201" t="s">
        <v>376</v>
      </c>
    </row>
    <row r="538" spans="2:8" ht="29.25" thickBot="1" x14ac:dyDescent="0.3">
      <c r="B538" s="438"/>
      <c r="C538" s="534"/>
      <c r="D538" s="747"/>
      <c r="E538" s="113"/>
      <c r="F538" s="249" t="s">
        <v>1659</v>
      </c>
      <c r="G538" s="323">
        <v>3000000</v>
      </c>
      <c r="H538" s="201" t="s">
        <v>376</v>
      </c>
    </row>
    <row r="539" spans="2:8" ht="15.75" thickBot="1" x14ac:dyDescent="0.3">
      <c r="B539" s="438"/>
      <c r="C539" s="534"/>
      <c r="D539" s="747"/>
      <c r="E539" s="757" t="s">
        <v>770</v>
      </c>
      <c r="F539" s="723"/>
      <c r="G539" s="187">
        <f>SUM(G537:G538)</f>
        <v>5000000</v>
      </c>
      <c r="H539" s="723"/>
    </row>
    <row r="540" spans="2:8" ht="29.25" thickBot="1" x14ac:dyDescent="0.3">
      <c r="B540" s="438"/>
      <c r="C540" s="534"/>
      <c r="D540" s="747"/>
      <c r="E540" s="249" t="s">
        <v>1660</v>
      </c>
      <c r="F540" s="200" t="s">
        <v>793</v>
      </c>
      <c r="G540" s="323">
        <v>20000</v>
      </c>
      <c r="H540" s="201" t="s">
        <v>550</v>
      </c>
    </row>
    <row r="541" spans="2:8" ht="29.25" thickBot="1" x14ac:dyDescent="0.3">
      <c r="B541" s="438"/>
      <c r="C541" s="534"/>
      <c r="D541" s="747"/>
      <c r="E541" s="35" t="s">
        <v>1661</v>
      </c>
      <c r="F541" s="32" t="s">
        <v>388</v>
      </c>
      <c r="G541" s="186">
        <v>25000000</v>
      </c>
      <c r="H541" s="32" t="s">
        <v>494</v>
      </c>
    </row>
    <row r="542" spans="2:8" ht="15.75" thickBot="1" x14ac:dyDescent="0.3">
      <c r="B542" s="438"/>
      <c r="C542" s="534"/>
      <c r="D542" s="747"/>
      <c r="E542" s="35"/>
      <c r="F542" s="753" t="s">
        <v>389</v>
      </c>
      <c r="G542" s="460">
        <v>50000000</v>
      </c>
      <c r="H542" s="753" t="s">
        <v>376</v>
      </c>
    </row>
    <row r="543" spans="2:8" ht="15.75" thickBot="1" x14ac:dyDescent="0.3">
      <c r="B543" s="438"/>
      <c r="C543" s="534"/>
      <c r="D543" s="747"/>
      <c r="E543" s="766"/>
      <c r="F543" s="293" t="s">
        <v>567</v>
      </c>
      <c r="G543" s="323">
        <v>400000000</v>
      </c>
      <c r="H543" s="201" t="s">
        <v>376</v>
      </c>
    </row>
    <row r="544" spans="2:8" ht="15.75" thickBot="1" x14ac:dyDescent="0.3">
      <c r="B544" s="438"/>
      <c r="C544" s="534"/>
      <c r="D544" s="747"/>
      <c r="E544" s="14"/>
      <c r="F544" s="32" t="s">
        <v>568</v>
      </c>
      <c r="G544" s="186">
        <v>25000000</v>
      </c>
      <c r="H544" s="32" t="s">
        <v>376</v>
      </c>
    </row>
    <row r="545" spans="2:8" ht="15.75" thickBot="1" x14ac:dyDescent="0.3">
      <c r="B545" s="438"/>
      <c r="C545" s="534"/>
      <c r="D545" s="747"/>
      <c r="E545" s="757" t="s">
        <v>772</v>
      </c>
      <c r="F545" s="723"/>
      <c r="G545" s="187">
        <f>SUM(G540:G544)</f>
        <v>500020000</v>
      </c>
      <c r="H545" s="723"/>
    </row>
    <row r="546" spans="2:8" ht="43.5" thickBot="1" x14ac:dyDescent="0.3">
      <c r="B546" s="438"/>
      <c r="C546" s="534"/>
      <c r="D546" s="178"/>
      <c r="E546" s="213" t="s">
        <v>794</v>
      </c>
      <c r="F546" s="249" t="s">
        <v>1662</v>
      </c>
      <c r="G546" s="323">
        <v>250000</v>
      </c>
      <c r="H546" s="201" t="s">
        <v>547</v>
      </c>
    </row>
    <row r="547" spans="2:8" ht="15.75" thickBot="1" x14ac:dyDescent="0.3">
      <c r="B547" s="438"/>
      <c r="C547" s="534"/>
      <c r="D547" s="178"/>
      <c r="E547" s="214"/>
      <c r="F547" s="32" t="s">
        <v>795</v>
      </c>
      <c r="G547" s="186">
        <v>250000</v>
      </c>
      <c r="H547" s="32" t="s">
        <v>376</v>
      </c>
    </row>
    <row r="548" spans="2:8" ht="15.75" thickBot="1" x14ac:dyDescent="0.3">
      <c r="B548" s="438"/>
      <c r="C548" s="534"/>
      <c r="D548" s="178"/>
      <c r="E548" s="350"/>
      <c r="F548" s="32" t="s">
        <v>796</v>
      </c>
      <c r="G548" s="186">
        <v>4500000</v>
      </c>
      <c r="H548" s="32" t="s">
        <v>376</v>
      </c>
    </row>
    <row r="549" spans="2:8" ht="15.75" thickBot="1" x14ac:dyDescent="0.3">
      <c r="B549" s="438"/>
      <c r="C549" s="534"/>
      <c r="D549" s="747"/>
      <c r="E549" s="757" t="s">
        <v>774</v>
      </c>
      <c r="F549" s="723"/>
      <c r="G549" s="187">
        <f>SUM(G546:G548)</f>
        <v>5000000</v>
      </c>
      <c r="H549" s="723"/>
    </row>
    <row r="550" spans="2:8" ht="43.5" thickBot="1" x14ac:dyDescent="0.3">
      <c r="B550" s="438"/>
      <c r="C550" s="534"/>
      <c r="D550" s="747"/>
      <c r="E550" s="249" t="s">
        <v>1663</v>
      </c>
      <c r="F550" s="249" t="s">
        <v>1664</v>
      </c>
      <c r="G550" s="323">
        <v>3000000</v>
      </c>
      <c r="H550" s="201" t="s">
        <v>376</v>
      </c>
    </row>
    <row r="551" spans="2:8" ht="43.5" thickBot="1" x14ac:dyDescent="0.3">
      <c r="B551" s="438"/>
      <c r="C551" s="534"/>
      <c r="D551" s="747"/>
      <c r="E551" s="249" t="s">
        <v>1665</v>
      </c>
      <c r="F551" s="249" t="s">
        <v>1666</v>
      </c>
      <c r="G551" s="323">
        <v>2000000</v>
      </c>
      <c r="H551" s="201" t="s">
        <v>376</v>
      </c>
    </row>
    <row r="552" spans="2:8" ht="15.75" thickBot="1" x14ac:dyDescent="0.3">
      <c r="B552" s="438"/>
      <c r="C552" s="534"/>
      <c r="D552" s="746"/>
      <c r="E552" s="263" t="s">
        <v>777</v>
      </c>
      <c r="F552" s="14"/>
      <c r="G552" s="185">
        <f>SUM(G550:G551)</f>
        <v>5000000</v>
      </c>
      <c r="H552" s="14"/>
    </row>
    <row r="553" spans="2:8" ht="15.75" thickBot="1" x14ac:dyDescent="0.3">
      <c r="B553" s="438"/>
      <c r="C553" s="440"/>
      <c r="D553" s="940" t="s">
        <v>797</v>
      </c>
      <c r="E553" s="941"/>
      <c r="F553" s="942"/>
      <c r="G553" s="779">
        <f>G536+G539+G545+G549+G552</f>
        <v>1115020000</v>
      </c>
      <c r="H553" s="778"/>
    </row>
    <row r="554" spans="2:8" ht="15.75" thickBot="1" x14ac:dyDescent="0.3">
      <c r="B554" s="443" t="s">
        <v>1197</v>
      </c>
      <c r="C554" s="443" t="s">
        <v>1383</v>
      </c>
      <c r="D554" s="406"/>
      <c r="E554" s="183" t="s">
        <v>22</v>
      </c>
      <c r="F554" s="231" t="s">
        <v>27</v>
      </c>
      <c r="G554" s="326" t="s">
        <v>362</v>
      </c>
      <c r="H554" s="265" t="s">
        <v>1175</v>
      </c>
    </row>
    <row r="555" spans="2:8" ht="45.75" thickBot="1" x14ac:dyDescent="0.3">
      <c r="B555" s="438" t="s">
        <v>1667</v>
      </c>
      <c r="C555" s="440" t="s">
        <v>1668</v>
      </c>
      <c r="D555" s="366" t="s">
        <v>23</v>
      </c>
      <c r="E555" s="753" t="s">
        <v>798</v>
      </c>
      <c r="F555" s="723"/>
      <c r="G555" s="559"/>
      <c r="H555" s="723"/>
    </row>
    <row r="556" spans="2:8" ht="43.5" thickBot="1" x14ac:dyDescent="0.3">
      <c r="B556" s="438"/>
      <c r="C556" s="440"/>
      <c r="D556" s="217" t="s">
        <v>1481</v>
      </c>
      <c r="E556" s="532" t="s">
        <v>799</v>
      </c>
      <c r="F556" s="200" t="s">
        <v>800</v>
      </c>
      <c r="G556" s="557" t="s">
        <v>1669</v>
      </c>
      <c r="H556" s="201" t="s">
        <v>801</v>
      </c>
    </row>
    <row r="557" spans="2:8" ht="15.75" thickBot="1" x14ac:dyDescent="0.3">
      <c r="B557" s="438"/>
      <c r="C557" s="440"/>
      <c r="D557" s="416"/>
      <c r="E557" s="753" t="s">
        <v>802</v>
      </c>
      <c r="F557" s="753" t="s">
        <v>803</v>
      </c>
      <c r="G557" s="559" t="s">
        <v>28</v>
      </c>
      <c r="H557" s="753" t="s">
        <v>376</v>
      </c>
    </row>
    <row r="558" spans="2:8" ht="38.25" customHeight="1" thickBot="1" x14ac:dyDescent="0.3">
      <c r="B558" s="438"/>
      <c r="C558" s="440"/>
      <c r="D558" s="750"/>
      <c r="E558" s="532" t="s">
        <v>804</v>
      </c>
      <c r="F558" s="249" t="s">
        <v>1670</v>
      </c>
      <c r="G558" s="498" t="s">
        <v>805</v>
      </c>
      <c r="H558" s="201" t="s">
        <v>806</v>
      </c>
    </row>
    <row r="559" spans="2:8" ht="29.25" thickBot="1" x14ac:dyDescent="0.3">
      <c r="B559" s="438"/>
      <c r="C559" s="440"/>
      <c r="D559" s="749" t="s">
        <v>25</v>
      </c>
      <c r="E559" s="532" t="s">
        <v>807</v>
      </c>
      <c r="F559" s="200" t="s">
        <v>800</v>
      </c>
      <c r="G559" s="557" t="s">
        <v>1671</v>
      </c>
      <c r="H559" s="201" t="s">
        <v>808</v>
      </c>
    </row>
    <row r="560" spans="2:8" ht="29.25" thickBot="1" x14ac:dyDescent="0.3">
      <c r="B560" s="438"/>
      <c r="C560" s="440"/>
      <c r="D560" s="750"/>
      <c r="E560" s="532" t="s">
        <v>809</v>
      </c>
      <c r="F560" s="200" t="s">
        <v>810</v>
      </c>
      <c r="G560" s="557" t="s">
        <v>1671</v>
      </c>
      <c r="H560" s="201" t="s">
        <v>808</v>
      </c>
    </row>
    <row r="561" spans="2:8" ht="29.25" thickBot="1" x14ac:dyDescent="0.3">
      <c r="B561" s="438"/>
      <c r="C561" s="440"/>
      <c r="D561" s="750"/>
      <c r="E561" s="293" t="s">
        <v>1672</v>
      </c>
      <c r="F561" s="249" t="s">
        <v>803</v>
      </c>
      <c r="G561" s="557" t="s">
        <v>1673</v>
      </c>
      <c r="H561" s="294" t="s">
        <v>808</v>
      </c>
    </row>
    <row r="562" spans="2:8" ht="29.25" thickBot="1" x14ac:dyDescent="0.3">
      <c r="B562" s="438"/>
      <c r="C562" s="440"/>
      <c r="D562" s="434"/>
      <c r="E562" s="753" t="s">
        <v>811</v>
      </c>
      <c r="F562" s="753" t="s">
        <v>812</v>
      </c>
      <c r="G562" s="157" t="s">
        <v>813</v>
      </c>
      <c r="H562" s="753" t="s">
        <v>500</v>
      </c>
    </row>
    <row r="563" spans="2:8" ht="15.75" thickBot="1" x14ac:dyDescent="0.3">
      <c r="B563" s="438"/>
      <c r="C563" s="440"/>
      <c r="D563" s="829"/>
      <c r="E563" s="117"/>
      <c r="F563" s="162" t="s">
        <v>380</v>
      </c>
      <c r="G563" s="555" t="s">
        <v>21</v>
      </c>
      <c r="H563" s="265" t="s">
        <v>934</v>
      </c>
    </row>
    <row r="564" spans="2:8" ht="43.5" thickBot="1" x14ac:dyDescent="0.3">
      <c r="B564" s="438"/>
      <c r="C564" s="440"/>
      <c r="D564" s="408" t="s">
        <v>26</v>
      </c>
      <c r="E564" s="32" t="s">
        <v>814</v>
      </c>
      <c r="F564" s="32" t="s">
        <v>815</v>
      </c>
      <c r="G564" s="186">
        <v>250000</v>
      </c>
      <c r="H564" s="32" t="s">
        <v>816</v>
      </c>
    </row>
    <row r="565" spans="2:8" ht="57" x14ac:dyDescent="0.25">
      <c r="B565" s="438"/>
      <c r="C565" s="440"/>
      <c r="D565" s="409"/>
      <c r="E565" s="35" t="s">
        <v>1388</v>
      </c>
      <c r="F565" s="35" t="s">
        <v>1389</v>
      </c>
      <c r="G565" s="215">
        <v>600000</v>
      </c>
      <c r="H565" s="35" t="s">
        <v>821</v>
      </c>
    </row>
    <row r="566" spans="2:8" ht="29.25" thickBot="1" x14ac:dyDescent="0.3">
      <c r="B566" s="438"/>
      <c r="C566" s="440"/>
      <c r="D566" s="409"/>
      <c r="E566" s="14"/>
      <c r="F566" s="32" t="s">
        <v>817</v>
      </c>
      <c r="G566" s="186">
        <v>200000</v>
      </c>
      <c r="H566" s="32" t="s">
        <v>376</v>
      </c>
    </row>
    <row r="567" spans="2:8" ht="15.75" thickBot="1" x14ac:dyDescent="0.3">
      <c r="B567" s="438"/>
      <c r="C567" s="440"/>
      <c r="D567" s="409"/>
      <c r="E567" s="360" t="s">
        <v>569</v>
      </c>
      <c r="F567" s="365"/>
      <c r="G567" s="187">
        <f>SUM(G564:G566)</f>
        <v>1050000</v>
      </c>
      <c r="H567" s="365"/>
    </row>
    <row r="568" spans="2:8" ht="43.5" thickBot="1" x14ac:dyDescent="0.3">
      <c r="B568" s="438"/>
      <c r="C568" s="440"/>
      <c r="D568" s="415"/>
      <c r="E568" s="293" t="s">
        <v>1390</v>
      </c>
      <c r="F568" s="249" t="s">
        <v>1392</v>
      </c>
      <c r="G568" s="484">
        <v>450000</v>
      </c>
      <c r="H568" s="294" t="s">
        <v>821</v>
      </c>
    </row>
    <row r="569" spans="2:8" ht="43.5" thickBot="1" x14ac:dyDescent="0.3">
      <c r="B569" s="438"/>
      <c r="C569" s="440"/>
      <c r="D569" s="415"/>
      <c r="E569" s="293" t="s">
        <v>818</v>
      </c>
      <c r="F569" s="249" t="s">
        <v>1391</v>
      </c>
      <c r="G569" s="323">
        <v>4200000</v>
      </c>
      <c r="H569" s="294" t="s">
        <v>821</v>
      </c>
    </row>
    <row r="570" spans="2:8" ht="43.5" thickBot="1" x14ac:dyDescent="0.3">
      <c r="B570" s="438"/>
      <c r="C570" s="440"/>
      <c r="D570" s="436"/>
      <c r="E570" s="32" t="s">
        <v>819</v>
      </c>
      <c r="F570" s="32" t="s">
        <v>820</v>
      </c>
      <c r="G570" s="186">
        <v>300000</v>
      </c>
      <c r="H570" s="32" t="s">
        <v>821</v>
      </c>
    </row>
    <row r="571" spans="2:8" ht="15.75" thickBot="1" x14ac:dyDescent="0.3">
      <c r="B571" s="438"/>
      <c r="C571" s="440"/>
      <c r="D571" s="433"/>
      <c r="E571" s="263" t="s">
        <v>822</v>
      </c>
      <c r="F571" s="14"/>
      <c r="G571" s="185">
        <f>SUM(G568:G570)</f>
        <v>4950000</v>
      </c>
      <c r="H571" s="14"/>
    </row>
    <row r="572" spans="2:8" ht="15.75" thickBot="1" x14ac:dyDescent="0.3">
      <c r="B572" s="438"/>
      <c r="C572" s="440"/>
      <c r="D572" s="784" t="s">
        <v>823</v>
      </c>
      <c r="E572" s="784"/>
      <c r="F572" s="839"/>
      <c r="G572" s="779">
        <f>G571+G567</f>
        <v>6000000</v>
      </c>
      <c r="H572" s="778"/>
    </row>
    <row r="573" spans="2:8" ht="15.75" thickBot="1" x14ac:dyDescent="0.3">
      <c r="B573" s="443" t="s">
        <v>1197</v>
      </c>
      <c r="C573" s="443" t="s">
        <v>1180</v>
      </c>
      <c r="D573" s="406"/>
      <c r="E573" s="183" t="s">
        <v>22</v>
      </c>
      <c r="F573" s="231" t="s">
        <v>27</v>
      </c>
      <c r="G573" s="494" t="s">
        <v>362</v>
      </c>
      <c r="H573" s="265" t="s">
        <v>1175</v>
      </c>
    </row>
    <row r="574" spans="2:8" ht="45.75" thickBot="1" x14ac:dyDescent="0.3">
      <c r="B574" s="438" t="s">
        <v>1394</v>
      </c>
      <c r="C574" s="440" t="s">
        <v>1393</v>
      </c>
      <c r="D574" s="413" t="s">
        <v>23</v>
      </c>
      <c r="E574" s="374" t="s">
        <v>824</v>
      </c>
      <c r="F574" s="723"/>
      <c r="G574" s="559"/>
      <c r="H574" s="723"/>
    </row>
    <row r="575" spans="2:8" ht="29.25" thickBot="1" x14ac:dyDescent="0.3">
      <c r="B575" s="438"/>
      <c r="C575" s="440"/>
      <c r="D575" s="529" t="s">
        <v>24</v>
      </c>
      <c r="E575" s="703" t="s">
        <v>825</v>
      </c>
      <c r="F575" s="582" t="s">
        <v>826</v>
      </c>
      <c r="G575" s="557" t="s">
        <v>1675</v>
      </c>
      <c r="H575" s="294" t="s">
        <v>1676</v>
      </c>
    </row>
    <row r="576" spans="2:8" ht="29.25" thickBot="1" x14ac:dyDescent="0.3">
      <c r="B576" s="438"/>
      <c r="C576" s="440"/>
      <c r="D576" s="530"/>
      <c r="E576" s="233" t="s">
        <v>827</v>
      </c>
      <c r="F576" s="753" t="s">
        <v>828</v>
      </c>
      <c r="G576" s="157" t="s">
        <v>829</v>
      </c>
      <c r="H576" s="753" t="s">
        <v>830</v>
      </c>
    </row>
    <row r="577" spans="2:8" ht="57.75" thickBot="1" x14ac:dyDescent="0.3">
      <c r="B577" s="438"/>
      <c r="C577" s="440"/>
      <c r="D577" s="759"/>
      <c r="E577" s="320" t="s">
        <v>1403</v>
      </c>
      <c r="F577" s="249" t="s">
        <v>1404</v>
      </c>
      <c r="G577" s="557" t="s">
        <v>1677</v>
      </c>
      <c r="H577" s="294" t="s">
        <v>1405</v>
      </c>
    </row>
    <row r="578" spans="2:8" ht="29.25" thickBot="1" x14ac:dyDescent="0.3">
      <c r="B578" s="438"/>
      <c r="C578" s="440"/>
      <c r="D578" s="759"/>
      <c r="E578" s="703" t="s">
        <v>831</v>
      </c>
      <c r="F578" s="582" t="s">
        <v>832</v>
      </c>
      <c r="G578" s="557" t="s">
        <v>1678</v>
      </c>
      <c r="H578" s="201" t="s">
        <v>550</v>
      </c>
    </row>
    <row r="579" spans="2:8" ht="43.5" thickBot="1" x14ac:dyDescent="0.3">
      <c r="B579" s="438"/>
      <c r="C579" s="440"/>
      <c r="D579" s="752" t="s">
        <v>25</v>
      </c>
      <c r="E579" s="532" t="s">
        <v>833</v>
      </c>
      <c r="F579" s="200" t="s">
        <v>834</v>
      </c>
      <c r="G579" s="557" t="s">
        <v>1679</v>
      </c>
      <c r="H579" s="201" t="s">
        <v>547</v>
      </c>
    </row>
    <row r="580" spans="2:8" ht="29.25" thickBot="1" x14ac:dyDescent="0.3">
      <c r="B580" s="438"/>
      <c r="C580" s="440"/>
      <c r="D580" s="416"/>
      <c r="E580" s="374" t="s">
        <v>835</v>
      </c>
      <c r="F580" s="374" t="s">
        <v>828</v>
      </c>
      <c r="G580" s="157" t="s">
        <v>829</v>
      </c>
      <c r="H580" s="374" t="s">
        <v>836</v>
      </c>
    </row>
    <row r="581" spans="2:8" ht="43.5" thickBot="1" x14ac:dyDescent="0.3">
      <c r="B581" s="438"/>
      <c r="C581" s="440"/>
      <c r="D581" s="434"/>
      <c r="E581" s="687" t="s">
        <v>1406</v>
      </c>
      <c r="F581" s="342" t="s">
        <v>837</v>
      </c>
      <c r="G581" s="830" t="s">
        <v>1680</v>
      </c>
      <c r="H581" s="294" t="s">
        <v>547</v>
      </c>
    </row>
    <row r="582" spans="2:8" ht="43.5" thickBot="1" x14ac:dyDescent="0.3">
      <c r="B582" s="438"/>
      <c r="C582" s="440"/>
      <c r="D582" s="370"/>
      <c r="E582" s="35" t="s">
        <v>1407</v>
      </c>
      <c r="F582" s="35" t="s">
        <v>1408</v>
      </c>
      <c r="G582" s="157" t="s">
        <v>1409</v>
      </c>
      <c r="H582" s="35" t="s">
        <v>550</v>
      </c>
    </row>
    <row r="583" spans="2:8" ht="15.75" thickBot="1" x14ac:dyDescent="0.3">
      <c r="B583" s="438"/>
      <c r="C583" s="440"/>
      <c r="D583" s="921" t="s">
        <v>26</v>
      </c>
      <c r="E583" s="117"/>
      <c r="F583" s="162" t="s">
        <v>380</v>
      </c>
      <c r="G583" s="555" t="s">
        <v>21</v>
      </c>
      <c r="H583" s="265" t="s">
        <v>934</v>
      </c>
    </row>
    <row r="584" spans="2:8" ht="29.25" thickBot="1" x14ac:dyDescent="0.3">
      <c r="B584" s="438"/>
      <c r="C584" s="440"/>
      <c r="D584" s="896"/>
      <c r="E584" s="532" t="s">
        <v>838</v>
      </c>
      <c r="F584" s="249" t="s">
        <v>1410</v>
      </c>
      <c r="G584" s="323">
        <v>12000000</v>
      </c>
      <c r="H584" s="201" t="s">
        <v>376</v>
      </c>
    </row>
    <row r="585" spans="2:8" ht="15.75" customHeight="1" thickBot="1" x14ac:dyDescent="0.3">
      <c r="B585" s="438"/>
      <c r="C585" s="440"/>
      <c r="D585" s="897"/>
      <c r="E585" s="6" t="s">
        <v>839</v>
      </c>
      <c r="F585" s="32" t="s">
        <v>388</v>
      </c>
      <c r="G585" s="186">
        <v>3000000</v>
      </c>
      <c r="H585" s="32" t="s">
        <v>376</v>
      </c>
    </row>
    <row r="586" spans="2:8" x14ac:dyDescent="0.25">
      <c r="B586" s="438"/>
      <c r="C586" s="440"/>
      <c r="D586" s="897"/>
      <c r="E586" s="6"/>
      <c r="F586" s="35" t="s">
        <v>389</v>
      </c>
      <c r="G586" s="215">
        <v>6000000</v>
      </c>
      <c r="H586" s="163" t="s">
        <v>376</v>
      </c>
    </row>
    <row r="587" spans="2:8" ht="15.75" thickBot="1" x14ac:dyDescent="0.3">
      <c r="B587" s="438"/>
      <c r="C587" s="440"/>
      <c r="D587" s="897"/>
      <c r="E587" s="6"/>
      <c r="F587" s="32" t="s">
        <v>567</v>
      </c>
      <c r="G587" s="186">
        <v>288000000</v>
      </c>
      <c r="H587" s="32" t="s">
        <v>376</v>
      </c>
    </row>
    <row r="588" spans="2:8" ht="15.75" thickBot="1" x14ac:dyDescent="0.3">
      <c r="B588" s="438"/>
      <c r="C588" s="440"/>
      <c r="D588" s="897"/>
      <c r="E588" s="190"/>
      <c r="F588" s="32" t="s">
        <v>568</v>
      </c>
      <c r="G588" s="186">
        <v>3000000</v>
      </c>
      <c r="H588" s="32" t="s">
        <v>376</v>
      </c>
    </row>
    <row r="589" spans="2:8" ht="15.75" thickBot="1" x14ac:dyDescent="0.3">
      <c r="B589" s="438"/>
      <c r="C589" s="440"/>
      <c r="D589" s="897"/>
      <c r="E589" s="373" t="s">
        <v>768</v>
      </c>
      <c r="F589" s="375"/>
      <c r="G589" s="187">
        <f>SUM(G584:G588)</f>
        <v>312000000</v>
      </c>
      <c r="H589" s="375"/>
    </row>
    <row r="590" spans="2:8" ht="29.25" thickBot="1" x14ac:dyDescent="0.3">
      <c r="B590" s="438"/>
      <c r="C590" s="440"/>
      <c r="D590" s="896"/>
      <c r="E590" s="293" t="s">
        <v>1411</v>
      </c>
      <c r="F590" s="249" t="s">
        <v>1412</v>
      </c>
      <c r="G590" s="323">
        <v>50000</v>
      </c>
      <c r="H590" s="294" t="s">
        <v>550</v>
      </c>
    </row>
    <row r="591" spans="2:8" ht="43.5" thickBot="1" x14ac:dyDescent="0.3">
      <c r="B591" s="438"/>
      <c r="C591" s="440"/>
      <c r="D591" s="896"/>
      <c r="E591" s="293" t="s">
        <v>1413</v>
      </c>
      <c r="F591" s="249" t="s">
        <v>840</v>
      </c>
      <c r="G591" s="484">
        <v>10000000</v>
      </c>
      <c r="H591" s="294" t="s">
        <v>550</v>
      </c>
    </row>
    <row r="592" spans="2:8" ht="29.25" thickBot="1" x14ac:dyDescent="0.3">
      <c r="B592" s="438"/>
      <c r="C592" s="440"/>
      <c r="D592" s="897"/>
      <c r="E592" s="163" t="s">
        <v>841</v>
      </c>
      <c r="F592" s="32" t="s">
        <v>388</v>
      </c>
      <c r="G592" s="186">
        <v>5000000</v>
      </c>
      <c r="H592" s="32" t="s">
        <v>547</v>
      </c>
    </row>
    <row r="593" spans="2:8" ht="15.75" thickBot="1" x14ac:dyDescent="0.3">
      <c r="B593" s="438"/>
      <c r="C593" s="440"/>
      <c r="D593" s="897"/>
      <c r="E593" s="6"/>
      <c r="F593" s="32" t="s">
        <v>389</v>
      </c>
      <c r="G593" s="186">
        <v>10000000</v>
      </c>
      <c r="H593" s="32" t="s">
        <v>376</v>
      </c>
    </row>
    <row r="594" spans="2:8" x14ac:dyDescent="0.25">
      <c r="B594" s="438"/>
      <c r="C594" s="440"/>
      <c r="D594" s="897"/>
      <c r="E594" s="6"/>
      <c r="F594" s="35" t="s">
        <v>567</v>
      </c>
      <c r="G594" s="215">
        <v>100000000</v>
      </c>
      <c r="H594" s="163" t="s">
        <v>494</v>
      </c>
    </row>
    <row r="595" spans="2:8" ht="15.75" thickBot="1" x14ac:dyDescent="0.3">
      <c r="B595" s="438"/>
      <c r="C595" s="440"/>
      <c r="D595" s="897"/>
      <c r="E595" s="190"/>
      <c r="F595" s="32" t="s">
        <v>568</v>
      </c>
      <c r="G595" s="186">
        <v>5000000</v>
      </c>
      <c r="H595" s="32" t="s">
        <v>376</v>
      </c>
    </row>
    <row r="596" spans="2:8" ht="15.75" thickBot="1" x14ac:dyDescent="0.3">
      <c r="B596" s="438"/>
      <c r="C596" s="440"/>
      <c r="D596" s="939"/>
      <c r="E596" s="263" t="s">
        <v>570</v>
      </c>
      <c r="F596" s="14"/>
      <c r="G596" s="185">
        <f>SUM(G590:G595)</f>
        <v>130050000</v>
      </c>
      <c r="H596" s="14"/>
    </row>
    <row r="597" spans="2:8" ht="15.75" thickBot="1" x14ac:dyDescent="0.3">
      <c r="B597" s="438"/>
      <c r="C597" s="440"/>
      <c r="D597" s="840" t="s">
        <v>842</v>
      </c>
      <c r="E597" s="841"/>
      <c r="F597" s="841"/>
      <c r="G597" s="842">
        <f>G589+G596</f>
        <v>442050000</v>
      </c>
      <c r="H597" s="843"/>
    </row>
    <row r="598" spans="2:8" ht="15.75" thickBot="1" x14ac:dyDescent="0.3">
      <c r="B598" s="445" t="s">
        <v>1197</v>
      </c>
      <c r="C598" s="191" t="s">
        <v>1180</v>
      </c>
      <c r="D598" s="406"/>
      <c r="E598" s="183" t="s">
        <v>22</v>
      </c>
      <c r="F598" s="231" t="s">
        <v>27</v>
      </c>
      <c r="G598" s="326" t="s">
        <v>362</v>
      </c>
      <c r="H598" s="265" t="s">
        <v>1175</v>
      </c>
    </row>
    <row r="599" spans="2:8" ht="60.75" thickBot="1" x14ac:dyDescent="0.3">
      <c r="B599" s="438" t="s">
        <v>904</v>
      </c>
      <c r="C599" s="533" t="s">
        <v>1355</v>
      </c>
      <c r="D599" s="535" t="s">
        <v>23</v>
      </c>
      <c r="E599" s="382" t="s">
        <v>843</v>
      </c>
      <c r="F599" s="536"/>
      <c r="G599" s="537"/>
      <c r="H599" s="203"/>
    </row>
    <row r="600" spans="2:8" ht="28.5" x14ac:dyDescent="0.25">
      <c r="B600" s="438"/>
      <c r="C600" s="534"/>
      <c r="D600" s="543" t="s">
        <v>24</v>
      </c>
      <c r="E600" s="389" t="s">
        <v>1414</v>
      </c>
      <c r="F600" s="540" t="s">
        <v>844</v>
      </c>
      <c r="G600" s="541" t="s">
        <v>1415</v>
      </c>
      <c r="H600" s="542" t="s">
        <v>633</v>
      </c>
    </row>
    <row r="601" spans="2:8" x14ac:dyDescent="0.25">
      <c r="B601" s="438"/>
      <c r="C601" s="534"/>
      <c r="D601" s="544"/>
      <c r="E601" s="908" t="s">
        <v>845</v>
      </c>
      <c r="F601" s="904" t="s">
        <v>846</v>
      </c>
      <c r="G601" s="539" t="s">
        <v>847</v>
      </c>
      <c r="H601" s="906" t="s">
        <v>376</v>
      </c>
    </row>
    <row r="602" spans="2:8" x14ac:dyDescent="0.25">
      <c r="B602" s="438"/>
      <c r="C602" s="534"/>
      <c r="D602" s="544"/>
      <c r="E602" s="908"/>
      <c r="F602" s="904"/>
      <c r="G602" s="539" t="s">
        <v>848</v>
      </c>
      <c r="H602" s="906"/>
    </row>
    <row r="603" spans="2:8" ht="28.5" x14ac:dyDescent="0.25">
      <c r="B603" s="438"/>
      <c r="C603" s="534"/>
      <c r="D603" s="544"/>
      <c r="E603" s="388" t="s">
        <v>849</v>
      </c>
      <c r="F603" s="386" t="s">
        <v>850</v>
      </c>
      <c r="G603" s="539" t="s">
        <v>851</v>
      </c>
      <c r="H603" s="387" t="s">
        <v>376</v>
      </c>
    </row>
    <row r="604" spans="2:8" ht="15.75" thickBot="1" x14ac:dyDescent="0.3">
      <c r="B604" s="438"/>
      <c r="C604" s="534"/>
      <c r="D604" s="546"/>
      <c r="E604" s="390" t="s">
        <v>852</v>
      </c>
      <c r="F604" s="392" t="s">
        <v>853</v>
      </c>
      <c r="G604" s="547" t="s">
        <v>368</v>
      </c>
      <c r="H604" s="394" t="s">
        <v>854</v>
      </c>
    </row>
    <row r="605" spans="2:8" ht="28.5" x14ac:dyDescent="0.25">
      <c r="B605" s="438"/>
      <c r="C605" s="534"/>
      <c r="D605" s="931" t="s">
        <v>25</v>
      </c>
      <c r="E605" s="389" t="s">
        <v>855</v>
      </c>
      <c r="F605" s="391" t="s">
        <v>856</v>
      </c>
      <c r="G605" s="541" t="s">
        <v>619</v>
      </c>
      <c r="H605" s="393" t="s">
        <v>376</v>
      </c>
    </row>
    <row r="606" spans="2:8" ht="28.5" x14ac:dyDescent="0.25">
      <c r="B606" s="438"/>
      <c r="C606" s="534"/>
      <c r="D606" s="932"/>
      <c r="E606" s="388" t="s">
        <v>857</v>
      </c>
      <c r="F606" s="386" t="s">
        <v>858</v>
      </c>
      <c r="G606" s="539" t="s">
        <v>619</v>
      </c>
      <c r="H606" s="549" t="s">
        <v>638</v>
      </c>
    </row>
    <row r="607" spans="2:8" x14ac:dyDescent="0.25">
      <c r="B607" s="438"/>
      <c r="C607" s="534"/>
      <c r="D607" s="932"/>
      <c r="E607" s="388" t="s">
        <v>859</v>
      </c>
      <c r="F607" s="386" t="s">
        <v>860</v>
      </c>
      <c r="G607" s="539" t="s">
        <v>368</v>
      </c>
      <c r="H607" s="549" t="s">
        <v>376</v>
      </c>
    </row>
    <row r="608" spans="2:8" ht="15.75" thickBot="1" x14ac:dyDescent="0.3">
      <c r="B608" s="438"/>
      <c r="C608" s="534"/>
      <c r="D608" s="371"/>
      <c r="E608" s="395" t="s">
        <v>1416</v>
      </c>
      <c r="F608" s="550" t="s">
        <v>861</v>
      </c>
      <c r="G608" s="551" t="s">
        <v>368</v>
      </c>
      <c r="H608" s="552" t="s">
        <v>376</v>
      </c>
    </row>
    <row r="609" spans="2:8" ht="15.75" thickBot="1" x14ac:dyDescent="0.3">
      <c r="B609" s="438"/>
      <c r="C609" s="534"/>
      <c r="D609" s="172" t="s">
        <v>26</v>
      </c>
      <c r="E609" s="113"/>
      <c r="F609" s="162" t="s">
        <v>862</v>
      </c>
      <c r="G609" s="555" t="s">
        <v>21</v>
      </c>
      <c r="H609" s="265" t="s">
        <v>934</v>
      </c>
    </row>
    <row r="610" spans="2:8" ht="15.75" thickBot="1" x14ac:dyDescent="0.3">
      <c r="B610" s="438"/>
      <c r="C610" s="534"/>
      <c r="D610" s="556"/>
      <c r="E610" s="938" t="s">
        <v>863</v>
      </c>
      <c r="F610" s="32" t="s">
        <v>864</v>
      </c>
      <c r="G610" s="493">
        <v>2000000</v>
      </c>
      <c r="H610" s="32" t="s">
        <v>426</v>
      </c>
    </row>
    <row r="611" spans="2:8" x14ac:dyDescent="0.25">
      <c r="B611" s="438"/>
      <c r="C611" s="534"/>
      <c r="D611" s="556"/>
      <c r="E611" s="910"/>
      <c r="F611" s="35" t="s">
        <v>865</v>
      </c>
      <c r="G611" s="929">
        <v>18000000</v>
      </c>
      <c r="H611" s="35" t="s">
        <v>448</v>
      </c>
    </row>
    <row r="612" spans="2:8" ht="15.75" thickBot="1" x14ac:dyDescent="0.3">
      <c r="B612" s="438"/>
      <c r="C612" s="534"/>
      <c r="D612" s="556"/>
      <c r="E612" s="911"/>
      <c r="F612" s="32" t="s">
        <v>866</v>
      </c>
      <c r="G612" s="930"/>
      <c r="H612" s="32" t="s">
        <v>503</v>
      </c>
    </row>
    <row r="613" spans="2:8" ht="15.75" thickBot="1" x14ac:dyDescent="0.3">
      <c r="B613" s="438"/>
      <c r="C613" s="534"/>
      <c r="D613" s="546"/>
      <c r="E613" s="209" t="s">
        <v>569</v>
      </c>
      <c r="F613" s="28"/>
      <c r="G613" s="491">
        <f>SUM(G610:G612)</f>
        <v>20000000</v>
      </c>
      <c r="H613" s="28"/>
    </row>
    <row r="614" spans="2:8" ht="29.25" thickBot="1" x14ac:dyDescent="0.3">
      <c r="B614" s="438"/>
      <c r="C614" s="534"/>
      <c r="D614" s="546"/>
      <c r="E614" s="32" t="s">
        <v>867</v>
      </c>
      <c r="F614" s="32" t="s">
        <v>868</v>
      </c>
      <c r="G614" s="493">
        <v>10000000</v>
      </c>
      <c r="H614" s="32" t="s">
        <v>869</v>
      </c>
    </row>
    <row r="615" spans="2:8" ht="15.75" thickBot="1" x14ac:dyDescent="0.3">
      <c r="B615" s="438"/>
      <c r="C615" s="534"/>
      <c r="D615" s="546"/>
      <c r="E615" s="32" t="s">
        <v>870</v>
      </c>
      <c r="F615" s="32" t="s">
        <v>595</v>
      </c>
      <c r="G615" s="492"/>
      <c r="H615" s="32" t="s">
        <v>871</v>
      </c>
    </row>
    <row r="616" spans="2:8" ht="15.75" thickBot="1" x14ac:dyDescent="0.3">
      <c r="B616" s="438"/>
      <c r="C616" s="534"/>
      <c r="D616" s="546"/>
      <c r="E616" s="35" t="s">
        <v>1417</v>
      </c>
      <c r="F616" s="163" t="s">
        <v>529</v>
      </c>
      <c r="G616" s="215">
        <v>200000</v>
      </c>
      <c r="H616" s="35" t="s">
        <v>1418</v>
      </c>
    </row>
    <row r="617" spans="2:8" x14ac:dyDescent="0.25">
      <c r="B617" s="438"/>
      <c r="C617" s="534"/>
      <c r="D617" s="546"/>
      <c r="E617" s="372"/>
      <c r="F617" s="397" t="s">
        <v>530</v>
      </c>
      <c r="G617" s="461">
        <v>4500000</v>
      </c>
      <c r="H617" s="393" t="s">
        <v>376</v>
      </c>
    </row>
    <row r="618" spans="2:8" ht="15.75" thickBot="1" x14ac:dyDescent="0.3">
      <c r="B618" s="438"/>
      <c r="C618" s="534"/>
      <c r="D618" s="546"/>
      <c r="E618" s="15"/>
      <c r="F618" s="398" t="s">
        <v>726</v>
      </c>
      <c r="G618" s="473">
        <v>300000</v>
      </c>
      <c r="H618" s="396" t="s">
        <v>376</v>
      </c>
    </row>
    <row r="619" spans="2:8" ht="15.75" thickBot="1" x14ac:dyDescent="0.3">
      <c r="B619" s="438"/>
      <c r="C619" s="534"/>
      <c r="D619" s="546"/>
      <c r="E619" s="373" t="s">
        <v>770</v>
      </c>
      <c r="F619" s="375"/>
      <c r="G619" s="187">
        <f>SUM(G614:G618)</f>
        <v>15000000</v>
      </c>
      <c r="H619" s="375"/>
    </row>
    <row r="620" spans="2:8" ht="29.25" thickBot="1" x14ac:dyDescent="0.3">
      <c r="B620" s="438"/>
      <c r="C620" s="534"/>
      <c r="D620" s="546"/>
      <c r="E620" s="249" t="s">
        <v>1419</v>
      </c>
      <c r="F620" s="249" t="s">
        <v>1420</v>
      </c>
      <c r="G620" s="323">
        <v>5000000</v>
      </c>
      <c r="H620" s="230"/>
    </row>
    <row r="621" spans="2:8" ht="15.75" thickBot="1" x14ac:dyDescent="0.3">
      <c r="B621" s="438"/>
      <c r="C621" s="534"/>
      <c r="D621" s="754"/>
      <c r="E621" s="757" t="s">
        <v>772</v>
      </c>
      <c r="F621" s="753"/>
      <c r="G621" s="847">
        <f>SUM(G620)</f>
        <v>5000000</v>
      </c>
      <c r="H621" s="399"/>
    </row>
    <row r="622" spans="2:8" ht="15.75" thickBot="1" x14ac:dyDescent="0.3">
      <c r="B622" s="438"/>
      <c r="C622" s="534"/>
      <c r="D622" s="545"/>
      <c r="E622" s="844" t="s">
        <v>872</v>
      </c>
      <c r="F622" s="845"/>
      <c r="G622" s="846">
        <f>G613+G619+G621</f>
        <v>40000000</v>
      </c>
      <c r="H622" s="836"/>
    </row>
    <row r="623" spans="2:8" ht="15.75" thickBot="1" x14ac:dyDescent="0.3">
      <c r="B623" s="445" t="s">
        <v>1197</v>
      </c>
      <c r="C623" s="444" t="s">
        <v>1180</v>
      </c>
      <c r="D623" s="20"/>
      <c r="E623" s="183" t="s">
        <v>22</v>
      </c>
      <c r="F623" s="231" t="s">
        <v>27</v>
      </c>
      <c r="G623" s="326" t="s">
        <v>362</v>
      </c>
      <c r="H623" s="265" t="s">
        <v>1175</v>
      </c>
    </row>
    <row r="624" spans="2:8" ht="60.75" thickBot="1" x14ac:dyDescent="0.3">
      <c r="B624" s="438" t="s">
        <v>1395</v>
      </c>
      <c r="C624" s="440" t="s">
        <v>1396</v>
      </c>
      <c r="D624" s="191" t="s">
        <v>23</v>
      </c>
      <c r="E624" s="235" t="s">
        <v>873</v>
      </c>
      <c r="F624" s="848"/>
      <c r="G624" s="479"/>
      <c r="H624" s="849"/>
    </row>
    <row r="625" spans="2:8" ht="42.75" x14ac:dyDescent="0.25">
      <c r="B625" s="438"/>
      <c r="C625" s="440"/>
      <c r="D625" s="755" t="s">
        <v>24</v>
      </c>
      <c r="E625" s="180" t="s">
        <v>874</v>
      </c>
      <c r="F625" s="166" t="s">
        <v>875</v>
      </c>
      <c r="G625" s="851" t="s">
        <v>876</v>
      </c>
      <c r="H625" s="176" t="s">
        <v>877</v>
      </c>
    </row>
    <row r="626" spans="2:8" ht="28.5" customHeight="1" x14ac:dyDescent="0.25">
      <c r="B626" s="438"/>
      <c r="C626" s="440"/>
      <c r="D626" s="754"/>
      <c r="E626" s="764" t="s">
        <v>1421</v>
      </c>
      <c r="F626" s="762" t="s">
        <v>1422</v>
      </c>
      <c r="G626" s="580" t="s">
        <v>878</v>
      </c>
      <c r="H626" s="765" t="s">
        <v>877</v>
      </c>
    </row>
    <row r="627" spans="2:8" ht="29.25" x14ac:dyDescent="0.25">
      <c r="B627" s="438"/>
      <c r="C627" s="440"/>
      <c r="D627" s="754"/>
      <c r="E627" s="764" t="s">
        <v>879</v>
      </c>
      <c r="F627" s="762" t="s">
        <v>880</v>
      </c>
      <c r="G627" s="850" t="s">
        <v>881</v>
      </c>
      <c r="H627" s="765" t="s">
        <v>882</v>
      </c>
    </row>
    <row r="628" spans="2:8" ht="72" thickBot="1" x14ac:dyDescent="0.3">
      <c r="B628" s="438"/>
      <c r="C628" s="440"/>
      <c r="D628" s="758"/>
      <c r="E628" s="509" t="s">
        <v>883</v>
      </c>
      <c r="F628" s="769" t="s">
        <v>884</v>
      </c>
      <c r="G628" s="853" t="s">
        <v>885</v>
      </c>
      <c r="H628" s="763" t="s">
        <v>886</v>
      </c>
    </row>
    <row r="629" spans="2:8" ht="42.75" x14ac:dyDescent="0.25">
      <c r="B629" s="438"/>
      <c r="C629" s="440"/>
      <c r="D629" s="852" t="s">
        <v>25</v>
      </c>
      <c r="E629" s="175" t="s">
        <v>887</v>
      </c>
      <c r="F629" s="761" t="s">
        <v>1681</v>
      </c>
      <c r="G629" s="541" t="s">
        <v>1682</v>
      </c>
      <c r="H629" s="176" t="s">
        <v>882</v>
      </c>
    </row>
    <row r="630" spans="2:8" ht="29.25" x14ac:dyDescent="0.25">
      <c r="B630" s="438"/>
      <c r="C630" s="440"/>
      <c r="D630" s="759"/>
      <c r="E630" s="760" t="s">
        <v>1423</v>
      </c>
      <c r="F630" s="2" t="s">
        <v>888</v>
      </c>
      <c r="G630" s="548" t="s">
        <v>889</v>
      </c>
      <c r="H630" s="167" t="s">
        <v>376</v>
      </c>
    </row>
    <row r="631" spans="2:8" ht="29.25" x14ac:dyDescent="0.25">
      <c r="B631" s="438"/>
      <c r="C631" s="440"/>
      <c r="D631" s="759"/>
      <c r="E631" s="760" t="s">
        <v>1425</v>
      </c>
      <c r="F631" s="2" t="s">
        <v>890</v>
      </c>
      <c r="G631" s="539" t="s">
        <v>1424</v>
      </c>
      <c r="H631" s="167" t="s">
        <v>376</v>
      </c>
    </row>
    <row r="632" spans="2:8" ht="29.25" x14ac:dyDescent="0.25">
      <c r="B632" s="438"/>
      <c r="C632" s="440"/>
      <c r="D632" s="564"/>
      <c r="E632" s="760" t="s">
        <v>1426</v>
      </c>
      <c r="F632" s="762" t="s">
        <v>891</v>
      </c>
      <c r="G632" s="539" t="s">
        <v>1427</v>
      </c>
      <c r="H632" s="167" t="s">
        <v>376</v>
      </c>
    </row>
    <row r="633" spans="2:8" ht="28.5" x14ac:dyDescent="0.25">
      <c r="B633" s="438"/>
      <c r="C633" s="440"/>
      <c r="D633" s="564"/>
      <c r="E633" s="760" t="s">
        <v>892</v>
      </c>
      <c r="F633" s="2" t="s">
        <v>893</v>
      </c>
      <c r="G633" s="539" t="s">
        <v>1683</v>
      </c>
      <c r="H633" s="167" t="s">
        <v>376</v>
      </c>
    </row>
    <row r="634" spans="2:8" ht="29.25" x14ac:dyDescent="0.25">
      <c r="B634" s="438"/>
      <c r="C634" s="440"/>
      <c r="D634" s="564"/>
      <c r="E634" s="760" t="s">
        <v>1428</v>
      </c>
      <c r="F634" s="2" t="s">
        <v>894</v>
      </c>
      <c r="G634" s="548" t="s">
        <v>1430</v>
      </c>
      <c r="H634" s="167" t="s">
        <v>376</v>
      </c>
    </row>
    <row r="635" spans="2:8" ht="29.25" x14ac:dyDescent="0.25">
      <c r="B635" s="438"/>
      <c r="C635" s="440"/>
      <c r="D635" s="564"/>
      <c r="E635" s="760" t="s">
        <v>1429</v>
      </c>
      <c r="F635" s="2" t="s">
        <v>895</v>
      </c>
      <c r="G635" s="548" t="s">
        <v>1430</v>
      </c>
      <c r="H635" s="167" t="s">
        <v>376</v>
      </c>
    </row>
    <row r="636" spans="2:8" ht="43.5" x14ac:dyDescent="0.25">
      <c r="B636" s="438"/>
      <c r="C636" s="440"/>
      <c r="D636" s="564"/>
      <c r="E636" s="760" t="s">
        <v>1431</v>
      </c>
      <c r="F636" s="2" t="s">
        <v>896</v>
      </c>
      <c r="G636" s="548" t="s">
        <v>364</v>
      </c>
      <c r="H636" s="167" t="s">
        <v>376</v>
      </c>
    </row>
    <row r="637" spans="2:8" ht="29.25" x14ac:dyDescent="0.25">
      <c r="B637" s="438"/>
      <c r="C637" s="440"/>
      <c r="D637" s="564"/>
      <c r="E637" s="760" t="s">
        <v>1432</v>
      </c>
      <c r="F637" s="2" t="s">
        <v>897</v>
      </c>
      <c r="G637" s="539" t="s">
        <v>1433</v>
      </c>
      <c r="H637" s="167" t="s">
        <v>376</v>
      </c>
    </row>
    <row r="638" spans="2:8" ht="29.25" x14ac:dyDescent="0.25">
      <c r="B638" s="438"/>
      <c r="C638" s="440"/>
      <c r="D638" s="564"/>
      <c r="E638" s="760" t="s">
        <v>1434</v>
      </c>
      <c r="F638" s="2" t="s">
        <v>898</v>
      </c>
      <c r="G638" s="548" t="s">
        <v>899</v>
      </c>
      <c r="H638" s="167" t="s">
        <v>376</v>
      </c>
    </row>
    <row r="639" spans="2:8" ht="29.25" x14ac:dyDescent="0.25">
      <c r="B639" s="438"/>
      <c r="C639" s="440"/>
      <c r="D639" s="564"/>
      <c r="E639" s="760" t="s">
        <v>1435</v>
      </c>
      <c r="F639" s="762" t="s">
        <v>1684</v>
      </c>
      <c r="G639" s="548" t="s">
        <v>900</v>
      </c>
      <c r="H639" s="167" t="s">
        <v>376</v>
      </c>
    </row>
    <row r="640" spans="2:8" ht="29.25" x14ac:dyDescent="0.25">
      <c r="B640" s="438"/>
      <c r="C640" s="440"/>
      <c r="D640" s="564"/>
      <c r="E640" s="760" t="s">
        <v>1436</v>
      </c>
      <c r="F640" s="2" t="s">
        <v>901</v>
      </c>
      <c r="G640" s="539" t="s">
        <v>1437</v>
      </c>
      <c r="H640" s="167" t="s">
        <v>376</v>
      </c>
    </row>
    <row r="641" spans="2:8" ht="43.5" thickBot="1" x14ac:dyDescent="0.3">
      <c r="B641" s="438"/>
      <c r="C641" s="440"/>
      <c r="D641" s="564"/>
      <c r="E641" s="515" t="s">
        <v>1438</v>
      </c>
      <c r="F641" s="550" t="s">
        <v>902</v>
      </c>
      <c r="G641" s="551" t="s">
        <v>903</v>
      </c>
      <c r="H641" s="562" t="s">
        <v>376</v>
      </c>
    </row>
    <row r="642" spans="2:8" ht="15.75" thickBot="1" x14ac:dyDescent="0.3">
      <c r="B642" s="438"/>
      <c r="C642" s="534"/>
      <c r="D642" s="183" t="s">
        <v>26</v>
      </c>
      <c r="F642" s="164" t="s">
        <v>380</v>
      </c>
      <c r="G642" s="768" t="s">
        <v>21</v>
      </c>
      <c r="H642" s="279" t="s">
        <v>934</v>
      </c>
    </row>
    <row r="643" spans="2:8" ht="43.5" x14ac:dyDescent="0.25">
      <c r="B643" s="438"/>
      <c r="C643" s="534"/>
      <c r="D643" s="173"/>
      <c r="E643" s="344" t="s">
        <v>1439</v>
      </c>
      <c r="F643" s="391" t="s">
        <v>1440</v>
      </c>
      <c r="G643" s="461">
        <v>1200000</v>
      </c>
      <c r="H643" s="393" t="s">
        <v>370</v>
      </c>
    </row>
    <row r="644" spans="2:8" ht="29.25" thickBot="1" x14ac:dyDescent="0.3">
      <c r="B644" s="438"/>
      <c r="C644" s="534"/>
      <c r="D644" s="571"/>
      <c r="E644" s="379"/>
      <c r="F644" s="240" t="s">
        <v>1441</v>
      </c>
      <c r="G644" s="551">
        <v>8800000</v>
      </c>
      <c r="H644" s="396" t="s">
        <v>370</v>
      </c>
    </row>
    <row r="645" spans="2:8" ht="15.75" thickBot="1" x14ac:dyDescent="0.3">
      <c r="B645" s="438"/>
      <c r="C645" s="534"/>
      <c r="D645" s="571"/>
      <c r="E645" s="263" t="s">
        <v>1687</v>
      </c>
      <c r="F645" s="14"/>
      <c r="G645" s="185">
        <f>SUM(G643:G644)</f>
        <v>10000000</v>
      </c>
      <c r="H645" s="14"/>
    </row>
    <row r="646" spans="2:8" ht="43.5" thickBot="1" x14ac:dyDescent="0.3">
      <c r="B646" s="438"/>
      <c r="C646" s="534"/>
      <c r="D646" s="571"/>
      <c r="E646" s="206" t="s">
        <v>1454</v>
      </c>
      <c r="F646" s="35" t="s">
        <v>1453</v>
      </c>
      <c r="G646" s="215">
        <v>11800000</v>
      </c>
      <c r="H646" s="35" t="s">
        <v>1452</v>
      </c>
    </row>
    <row r="647" spans="2:8" ht="15.75" thickBot="1" x14ac:dyDescent="0.3">
      <c r="B647" s="438"/>
      <c r="C647" s="534"/>
      <c r="D647" s="756"/>
      <c r="E647" s="455" t="s">
        <v>1688</v>
      </c>
      <c r="F647" s="342"/>
      <c r="G647" s="854">
        <f>SUM(G646)</f>
        <v>11800000</v>
      </c>
      <c r="H647" s="294"/>
    </row>
    <row r="648" spans="2:8" ht="30" thickBot="1" x14ac:dyDescent="0.3">
      <c r="B648" s="438"/>
      <c r="C648" s="534"/>
      <c r="D648" s="571"/>
      <c r="E648" s="288" t="s">
        <v>1685</v>
      </c>
      <c r="F648" s="859" t="s">
        <v>1442</v>
      </c>
      <c r="G648" s="860">
        <v>5000000</v>
      </c>
      <c r="H648" s="861" t="s">
        <v>426</v>
      </c>
    </row>
    <row r="649" spans="2:8" ht="15.75" thickBot="1" x14ac:dyDescent="0.3">
      <c r="B649" s="438"/>
      <c r="C649" s="534"/>
      <c r="D649" s="756"/>
      <c r="E649" s="455" t="s">
        <v>1590</v>
      </c>
      <c r="F649" s="676"/>
      <c r="G649" s="857">
        <f>SUM(G648)</f>
        <v>5000000</v>
      </c>
      <c r="H649" s="283"/>
    </row>
    <row r="650" spans="2:8" ht="29.25" thickBot="1" x14ac:dyDescent="0.3">
      <c r="B650" s="438"/>
      <c r="C650" s="534"/>
      <c r="D650" s="571"/>
      <c r="E650" s="279" t="s">
        <v>1686</v>
      </c>
      <c r="F650" s="855" t="s">
        <v>1443</v>
      </c>
      <c r="G650" s="856">
        <v>30000000</v>
      </c>
      <c r="H650" s="680" t="s">
        <v>376</v>
      </c>
    </row>
    <row r="651" spans="2:8" ht="15.75" thickBot="1" x14ac:dyDescent="0.3">
      <c r="B651" s="438"/>
      <c r="C651" s="534"/>
      <c r="D651" s="756"/>
      <c r="E651" s="455" t="s">
        <v>1690</v>
      </c>
      <c r="F651" s="676"/>
      <c r="G651" s="858">
        <f>SUM(G648:G650)</f>
        <v>40000000</v>
      </c>
      <c r="H651" s="682"/>
    </row>
    <row r="652" spans="2:8" ht="29.25" x14ac:dyDescent="0.25">
      <c r="B652" s="438"/>
      <c r="C652" s="534"/>
      <c r="D652" s="571"/>
      <c r="E652" s="344" t="s">
        <v>1444</v>
      </c>
      <c r="F652" s="391" t="s">
        <v>905</v>
      </c>
      <c r="G652" s="461">
        <v>5000000</v>
      </c>
      <c r="H652" s="393" t="s">
        <v>906</v>
      </c>
    </row>
    <row r="653" spans="2:8" ht="15.75" thickBot="1" x14ac:dyDescent="0.3">
      <c r="B653" s="438"/>
      <c r="C653" s="534"/>
      <c r="D653" s="571"/>
      <c r="E653" s="260"/>
      <c r="F653" s="240" t="s">
        <v>907</v>
      </c>
      <c r="G653" s="473">
        <v>20000000</v>
      </c>
      <c r="H653" s="33"/>
    </row>
    <row r="654" spans="2:8" ht="15.75" thickBot="1" x14ac:dyDescent="0.3">
      <c r="B654" s="438"/>
      <c r="C654" s="534"/>
      <c r="D654" s="571"/>
      <c r="E654" s="263" t="s">
        <v>1689</v>
      </c>
      <c r="F654" s="375"/>
      <c r="G654" s="187">
        <f>SUM(G646:G653)</f>
        <v>128600000</v>
      </c>
      <c r="H654" s="375"/>
    </row>
    <row r="655" spans="2:8" ht="29.25" x14ac:dyDescent="0.25">
      <c r="B655" s="438"/>
      <c r="C655" s="534"/>
      <c r="D655" s="571"/>
      <c r="E655" s="305" t="s">
        <v>1445</v>
      </c>
      <c r="F655" s="175" t="s">
        <v>908</v>
      </c>
      <c r="G655" s="560">
        <v>4000000</v>
      </c>
      <c r="H655" s="176" t="s">
        <v>376</v>
      </c>
    </row>
    <row r="656" spans="2:8" ht="29.25" thickBot="1" x14ac:dyDescent="0.3">
      <c r="B656" s="438"/>
      <c r="C656" s="534"/>
      <c r="D656" s="571"/>
      <c r="E656" s="15"/>
      <c r="F656" s="398" t="s">
        <v>909</v>
      </c>
      <c r="G656" s="473">
        <v>6000000</v>
      </c>
      <c r="H656" s="396" t="s">
        <v>376</v>
      </c>
    </row>
    <row r="657" spans="2:8" ht="15.75" thickBot="1" x14ac:dyDescent="0.3">
      <c r="B657" s="438"/>
      <c r="C657" s="534"/>
      <c r="D657" s="571"/>
      <c r="E657" s="373" t="s">
        <v>479</v>
      </c>
      <c r="F657" s="375"/>
      <c r="G657" s="187">
        <f>SUM(G655:G656)</f>
        <v>10000000</v>
      </c>
      <c r="H657" s="375"/>
    </row>
    <row r="658" spans="2:8" ht="29.25" x14ac:dyDescent="0.25">
      <c r="B658" s="438"/>
      <c r="C658" s="534"/>
      <c r="D658" s="571"/>
      <c r="E658" s="288" t="s">
        <v>1693</v>
      </c>
      <c r="F658" s="566" t="s">
        <v>388</v>
      </c>
      <c r="G658" s="461">
        <v>2500000</v>
      </c>
      <c r="H658" s="393" t="s">
        <v>376</v>
      </c>
    </row>
    <row r="659" spans="2:8" x14ac:dyDescent="0.25">
      <c r="B659" s="438"/>
      <c r="C659" s="534"/>
      <c r="D659" s="571"/>
      <c r="E659" s="377"/>
      <c r="F659" s="567" t="s">
        <v>532</v>
      </c>
      <c r="G659" s="548">
        <v>5000000</v>
      </c>
      <c r="H659" s="167" t="s">
        <v>376</v>
      </c>
    </row>
    <row r="660" spans="2:8" ht="29.25" thickBot="1" x14ac:dyDescent="0.3">
      <c r="B660" s="438"/>
      <c r="C660" s="534"/>
      <c r="D660" s="909"/>
      <c r="E660" s="569"/>
      <c r="F660" s="395" t="s">
        <v>1446</v>
      </c>
      <c r="G660" s="551">
        <v>42500000</v>
      </c>
      <c r="H660" s="562" t="s">
        <v>376</v>
      </c>
    </row>
    <row r="661" spans="2:8" ht="15.75" thickBot="1" x14ac:dyDescent="0.3">
      <c r="B661" s="438"/>
      <c r="C661" s="534"/>
      <c r="D661" s="909"/>
      <c r="E661" s="373" t="s">
        <v>630</v>
      </c>
      <c r="F661" s="375"/>
      <c r="G661" s="187">
        <f>SUM(G658:G660)</f>
        <v>50000000</v>
      </c>
      <c r="H661" s="375"/>
    </row>
    <row r="662" spans="2:8" ht="43.5" x14ac:dyDescent="0.25">
      <c r="B662" s="438"/>
      <c r="C662" s="534"/>
      <c r="D662" s="945"/>
      <c r="E662" s="565" t="s">
        <v>1447</v>
      </c>
      <c r="F662" s="566" t="s">
        <v>388</v>
      </c>
      <c r="G662" s="461">
        <v>2500000</v>
      </c>
      <c r="H662" s="393" t="s">
        <v>376</v>
      </c>
    </row>
    <row r="663" spans="2:8" ht="15.75" thickBot="1" x14ac:dyDescent="0.3">
      <c r="B663" s="438"/>
      <c r="C663" s="534"/>
      <c r="D663" s="945"/>
      <c r="E663" s="459"/>
      <c r="F663" s="573" t="s">
        <v>389</v>
      </c>
      <c r="G663" s="551">
        <v>5000000</v>
      </c>
      <c r="H663" s="562" t="s">
        <v>376</v>
      </c>
    </row>
    <row r="664" spans="2:8" ht="15.75" thickBot="1" x14ac:dyDescent="0.3">
      <c r="B664" s="438"/>
      <c r="C664" s="534"/>
      <c r="D664" s="909"/>
      <c r="E664" s="263" t="s">
        <v>1617</v>
      </c>
      <c r="F664" s="14"/>
      <c r="G664" s="185">
        <f>SUM(G662:G663)</f>
        <v>7500000</v>
      </c>
      <c r="H664" s="14"/>
    </row>
    <row r="665" spans="2:8" ht="43.5" x14ac:dyDescent="0.25">
      <c r="B665" s="438"/>
      <c r="C665" s="534"/>
      <c r="D665" s="909"/>
      <c r="E665" s="305" t="s">
        <v>1450</v>
      </c>
      <c r="F665" s="397" t="s">
        <v>1451</v>
      </c>
      <c r="G665" s="560">
        <v>3500000</v>
      </c>
      <c r="H665" s="176" t="s">
        <v>376</v>
      </c>
    </row>
    <row r="666" spans="2:8" ht="29.25" thickBot="1" x14ac:dyDescent="0.3">
      <c r="B666" s="438"/>
      <c r="C666" s="534"/>
      <c r="D666" s="909"/>
      <c r="E666" s="15"/>
      <c r="F666" s="398" t="s">
        <v>910</v>
      </c>
      <c r="G666" s="473">
        <v>10000000</v>
      </c>
      <c r="H666" s="396" t="s">
        <v>376</v>
      </c>
    </row>
    <row r="667" spans="2:8" ht="15.75" thickBot="1" x14ac:dyDescent="0.3">
      <c r="B667" s="438"/>
      <c r="C667" s="534"/>
      <c r="D667" s="909"/>
      <c r="E667" s="263" t="s">
        <v>1692</v>
      </c>
      <c r="F667" s="375"/>
      <c r="G667" s="187">
        <f>SUM(G665:G666)</f>
        <v>13500000</v>
      </c>
      <c r="H667" s="375"/>
    </row>
    <row r="668" spans="2:8" ht="29.25" x14ac:dyDescent="0.25">
      <c r="B668" s="438"/>
      <c r="C668" s="534"/>
      <c r="D668" s="909"/>
      <c r="E668" s="305" t="s">
        <v>1694</v>
      </c>
      <c r="F668" s="386" t="s">
        <v>1448</v>
      </c>
      <c r="G668" s="548" t="s">
        <v>20</v>
      </c>
      <c r="H668" s="538"/>
    </row>
    <row r="669" spans="2:8" x14ac:dyDescent="0.25">
      <c r="B669" s="438"/>
      <c r="C669" s="534"/>
      <c r="D669" s="909"/>
      <c r="E669" s="372"/>
      <c r="F669" s="386" t="s">
        <v>911</v>
      </c>
      <c r="G669" s="475">
        <v>12500000</v>
      </c>
      <c r="H669" s="1"/>
    </row>
    <row r="670" spans="2:8" ht="15.75" thickBot="1" x14ac:dyDescent="0.3">
      <c r="B670" s="438"/>
      <c r="C670" s="534"/>
      <c r="D670" s="909"/>
      <c r="E670" s="766"/>
      <c r="F670" s="769" t="s">
        <v>1449</v>
      </c>
      <c r="G670" s="463">
        <v>2500000</v>
      </c>
      <c r="H670" s="238"/>
    </row>
    <row r="671" spans="2:8" ht="15.75" thickBot="1" x14ac:dyDescent="0.3">
      <c r="B671" s="438"/>
      <c r="C671" s="534"/>
      <c r="D671" s="909"/>
      <c r="E671" s="455" t="s">
        <v>1691</v>
      </c>
      <c r="F671" s="254"/>
      <c r="G671" s="576">
        <f>SUM(G669:G670)</f>
        <v>15000000</v>
      </c>
      <c r="H671" s="297"/>
    </row>
    <row r="672" spans="2:8" ht="30" thickBot="1" x14ac:dyDescent="0.3">
      <c r="B672" s="438"/>
      <c r="C672" s="534"/>
      <c r="D672" s="909"/>
      <c r="E672" s="570" t="s">
        <v>1695</v>
      </c>
      <c r="F672" s="193" t="s">
        <v>912</v>
      </c>
      <c r="G672" s="568">
        <v>200000</v>
      </c>
      <c r="H672" s="202" t="s">
        <v>376</v>
      </c>
    </row>
    <row r="673" spans="2:8" ht="15.75" thickBot="1" x14ac:dyDescent="0.3">
      <c r="B673" s="438"/>
      <c r="C673" s="534"/>
      <c r="D673" s="909"/>
      <c r="E673" s="346" t="s">
        <v>1697</v>
      </c>
      <c r="F673" s="226"/>
      <c r="G673" s="862">
        <f>SUM(G672)</f>
        <v>200000</v>
      </c>
      <c r="H673" s="222"/>
    </row>
    <row r="674" spans="2:8" ht="29.25" x14ac:dyDescent="0.25">
      <c r="B674" s="438"/>
      <c r="C674" s="534"/>
      <c r="D674" s="909"/>
      <c r="E674" s="288" t="s">
        <v>1696</v>
      </c>
      <c r="F674" s="389" t="s">
        <v>388</v>
      </c>
      <c r="G674" s="461">
        <v>8000000</v>
      </c>
      <c r="H674" s="393" t="s">
        <v>913</v>
      </c>
    </row>
    <row r="675" spans="2:8" x14ac:dyDescent="0.25">
      <c r="B675" s="438"/>
      <c r="C675" s="534"/>
      <c r="D675" s="909"/>
      <c r="E675" s="267"/>
      <c r="F675" s="388" t="s">
        <v>389</v>
      </c>
      <c r="G675" s="548">
        <v>16000000</v>
      </c>
      <c r="H675" s="167" t="s">
        <v>376</v>
      </c>
    </row>
    <row r="676" spans="2:8" x14ac:dyDescent="0.25">
      <c r="B676" s="438"/>
      <c r="C676" s="534"/>
      <c r="D676" s="546"/>
      <c r="E676" s="377"/>
      <c r="F676" s="388" t="s">
        <v>533</v>
      </c>
      <c r="G676" s="548">
        <v>128000000</v>
      </c>
      <c r="H676" s="167" t="s">
        <v>376</v>
      </c>
    </row>
    <row r="677" spans="2:8" ht="15.75" thickBot="1" x14ac:dyDescent="0.3">
      <c r="B677" s="438"/>
      <c r="C677" s="534"/>
      <c r="D677" s="546"/>
      <c r="E677" s="378"/>
      <c r="F677" s="395" t="s">
        <v>568</v>
      </c>
      <c r="G677" s="473">
        <v>8000000</v>
      </c>
      <c r="H677" s="396" t="s">
        <v>376</v>
      </c>
    </row>
    <row r="678" spans="2:8" ht="15.75" thickBot="1" x14ac:dyDescent="0.3">
      <c r="B678" s="438"/>
      <c r="C678" s="534"/>
      <c r="D678" s="546"/>
      <c r="E678" s="373" t="s">
        <v>1698</v>
      </c>
      <c r="F678" s="14"/>
      <c r="G678" s="185">
        <f>SUM(G674:G677)</f>
        <v>160000000</v>
      </c>
      <c r="H678" s="14"/>
    </row>
    <row r="679" spans="2:8" ht="30" thickBot="1" x14ac:dyDescent="0.3">
      <c r="B679" s="438"/>
      <c r="C679" s="534"/>
      <c r="D679" s="546"/>
      <c r="E679" s="288" t="s">
        <v>1699</v>
      </c>
      <c r="F679" s="174" t="s">
        <v>915</v>
      </c>
      <c r="G679" s="215">
        <v>1000000</v>
      </c>
      <c r="H679" s="163" t="s">
        <v>376</v>
      </c>
    </row>
    <row r="680" spans="2:8" ht="30" thickBot="1" x14ac:dyDescent="0.3">
      <c r="B680" s="438"/>
      <c r="C680" s="534"/>
      <c r="D680" s="546"/>
      <c r="E680" s="231" t="s">
        <v>1700</v>
      </c>
      <c r="F680" s="200" t="s">
        <v>916</v>
      </c>
      <c r="G680" s="323">
        <v>500000</v>
      </c>
      <c r="H680" s="201" t="s">
        <v>376</v>
      </c>
    </row>
    <row r="681" spans="2:8" ht="15.75" thickBot="1" x14ac:dyDescent="0.3">
      <c r="B681" s="438"/>
      <c r="C681" s="534"/>
      <c r="D681" s="545"/>
      <c r="E681" s="263" t="s">
        <v>1701</v>
      </c>
      <c r="F681" s="14"/>
      <c r="G681" s="185">
        <f>SUM(G679:G680)</f>
        <v>1500000</v>
      </c>
      <c r="H681" s="14"/>
    </row>
    <row r="682" spans="2:8" ht="15.75" thickBot="1" x14ac:dyDescent="0.3">
      <c r="B682" s="438"/>
      <c r="C682" s="440"/>
      <c r="D682" s="831"/>
      <c r="E682" s="777" t="s">
        <v>917</v>
      </c>
      <c r="F682" s="778"/>
      <c r="G682" s="779">
        <f>G681+G678+G673+G671+G667+G664+G661+G657+G654+G651+G649+G645</f>
        <v>441300000</v>
      </c>
      <c r="H682" s="778"/>
    </row>
    <row r="683" spans="2:8" ht="15.75" thickBot="1" x14ac:dyDescent="0.3">
      <c r="B683" s="445" t="s">
        <v>1197</v>
      </c>
      <c r="C683" s="444" t="s">
        <v>1180</v>
      </c>
      <c r="D683" s="406"/>
      <c r="E683" s="183" t="s">
        <v>22</v>
      </c>
      <c r="F683" s="231" t="s">
        <v>27</v>
      </c>
      <c r="G683" s="326" t="s">
        <v>362</v>
      </c>
      <c r="H683" s="265" t="s">
        <v>1175</v>
      </c>
    </row>
    <row r="684" spans="2:8" ht="30.75" thickBot="1" x14ac:dyDescent="0.3">
      <c r="B684" s="438" t="s">
        <v>37</v>
      </c>
      <c r="C684" s="440" t="s">
        <v>67</v>
      </c>
      <c r="D684" s="529" t="s">
        <v>23</v>
      </c>
      <c r="E684" s="249" t="s">
        <v>918</v>
      </c>
      <c r="F684" s="254"/>
      <c r="G684" s="482"/>
      <c r="H684" s="297"/>
    </row>
    <row r="685" spans="2:8" ht="57.75" thickBot="1" x14ac:dyDescent="0.3">
      <c r="B685" s="438"/>
      <c r="C685" s="534"/>
      <c r="D685" s="815" t="s">
        <v>24</v>
      </c>
      <c r="E685" s="532" t="s">
        <v>919</v>
      </c>
      <c r="F685" s="200" t="s">
        <v>920</v>
      </c>
      <c r="G685" s="557" t="s">
        <v>1702</v>
      </c>
      <c r="H685" s="294" t="s">
        <v>1703</v>
      </c>
    </row>
    <row r="686" spans="2:8" ht="29.25" thickBot="1" x14ac:dyDescent="0.3">
      <c r="B686" s="438"/>
      <c r="C686" s="534"/>
      <c r="D686" s="813"/>
      <c r="E686" s="293" t="s">
        <v>1455</v>
      </c>
      <c r="F686" s="249" t="s">
        <v>1456</v>
      </c>
      <c r="G686" s="557" t="s">
        <v>1458</v>
      </c>
      <c r="H686" s="294" t="s">
        <v>1457</v>
      </c>
    </row>
    <row r="687" spans="2:8" ht="72" thickBot="1" x14ac:dyDescent="0.3">
      <c r="B687" s="438"/>
      <c r="C687" s="534"/>
      <c r="D687" s="813"/>
      <c r="E687" s="293" t="s">
        <v>1459</v>
      </c>
      <c r="F687" s="249" t="s">
        <v>1460</v>
      </c>
      <c r="G687" s="557" t="s">
        <v>1704</v>
      </c>
      <c r="H687" s="294" t="s">
        <v>1705</v>
      </c>
    </row>
    <row r="688" spans="2:8" ht="57.75" thickBot="1" x14ac:dyDescent="0.3">
      <c r="B688" s="438"/>
      <c r="C688" s="534"/>
      <c r="D688" s="813"/>
      <c r="E688" s="293" t="s">
        <v>1461</v>
      </c>
      <c r="F688" s="249" t="s">
        <v>1462</v>
      </c>
      <c r="G688" s="557" t="s">
        <v>1706</v>
      </c>
      <c r="H688" s="294" t="s">
        <v>1463</v>
      </c>
    </row>
    <row r="689" spans="2:8" ht="30" thickBot="1" x14ac:dyDescent="0.3">
      <c r="B689" s="438"/>
      <c r="C689" s="440"/>
      <c r="D689" s="575" t="s">
        <v>25</v>
      </c>
      <c r="E689" s="570" t="s">
        <v>921</v>
      </c>
      <c r="F689" s="235" t="s">
        <v>922</v>
      </c>
      <c r="G689" s="496" t="s">
        <v>923</v>
      </c>
      <c r="H689" s="266" t="s">
        <v>801</v>
      </c>
    </row>
    <row r="690" spans="2:8" ht="42.75" x14ac:dyDescent="0.25">
      <c r="B690" s="438"/>
      <c r="C690" s="440"/>
      <c r="D690" s="817"/>
      <c r="E690" s="888" t="s">
        <v>924</v>
      </c>
      <c r="F690" s="166" t="s">
        <v>925</v>
      </c>
      <c r="G690" s="541" t="s">
        <v>1707</v>
      </c>
      <c r="H690" s="889" t="s">
        <v>638</v>
      </c>
    </row>
    <row r="691" spans="2:8" ht="29.25" x14ac:dyDescent="0.25">
      <c r="B691" s="438"/>
      <c r="C691" s="440"/>
      <c r="D691" s="530"/>
      <c r="E691" s="561" t="s">
        <v>1464</v>
      </c>
      <c r="F691" s="2" t="s">
        <v>926</v>
      </c>
      <c r="G691" s="539" t="s">
        <v>1465</v>
      </c>
      <c r="H691" s="167" t="s">
        <v>928</v>
      </c>
    </row>
    <row r="692" spans="2:8" ht="29.25" x14ac:dyDescent="0.25">
      <c r="B692" s="438"/>
      <c r="C692" s="440"/>
      <c r="D692" s="530"/>
      <c r="E692" s="561" t="s">
        <v>1466</v>
      </c>
      <c r="F692" s="2" t="s">
        <v>929</v>
      </c>
      <c r="G692" s="548" t="s">
        <v>927</v>
      </c>
      <c r="H692" s="167" t="s">
        <v>930</v>
      </c>
    </row>
    <row r="693" spans="2:8" ht="29.25" x14ac:dyDescent="0.25">
      <c r="B693" s="438"/>
      <c r="C693" s="440"/>
      <c r="D693" s="530"/>
      <c r="E693" s="561" t="s">
        <v>931</v>
      </c>
      <c r="F693" s="386" t="s">
        <v>932</v>
      </c>
      <c r="G693" s="539" t="s">
        <v>371</v>
      </c>
      <c r="H693" s="387" t="s">
        <v>426</v>
      </c>
    </row>
    <row r="694" spans="2:8" ht="30" thickBot="1" x14ac:dyDescent="0.3">
      <c r="B694" s="438"/>
      <c r="C694" s="440"/>
      <c r="D694" s="530"/>
      <c r="E694" s="306" t="s">
        <v>1467</v>
      </c>
      <c r="F694" s="550" t="s">
        <v>933</v>
      </c>
      <c r="G694" s="551" t="s">
        <v>373</v>
      </c>
      <c r="H694" s="552" t="s">
        <v>638</v>
      </c>
    </row>
    <row r="695" spans="2:8" ht="15.75" thickBot="1" x14ac:dyDescent="0.3">
      <c r="B695" s="438"/>
      <c r="C695" s="440"/>
      <c r="D695" s="199" t="s">
        <v>26</v>
      </c>
      <c r="E695" s="292"/>
      <c r="F695" s="577" t="s">
        <v>380</v>
      </c>
      <c r="G695" s="578" t="s">
        <v>21</v>
      </c>
      <c r="H695" s="579" t="s">
        <v>934</v>
      </c>
    </row>
    <row r="696" spans="2:8" ht="30" thickBot="1" x14ac:dyDescent="0.3">
      <c r="B696" s="438"/>
      <c r="C696" s="440"/>
      <c r="D696" s="370"/>
      <c r="E696" s="164" t="s">
        <v>935</v>
      </c>
      <c r="F696" s="6" t="s">
        <v>936</v>
      </c>
      <c r="G696" s="457">
        <v>8400000</v>
      </c>
      <c r="H696" s="35" t="s">
        <v>477</v>
      </c>
    </row>
    <row r="697" spans="2:8" x14ac:dyDescent="0.25">
      <c r="B697" s="438"/>
      <c r="C697" s="440"/>
      <c r="D697" s="427"/>
      <c r="E697" s="558" t="s">
        <v>1468</v>
      </c>
      <c r="F697" s="193" t="s">
        <v>529</v>
      </c>
      <c r="G697" s="568">
        <v>500000</v>
      </c>
      <c r="H697" s="327" t="s">
        <v>638</v>
      </c>
    </row>
    <row r="698" spans="2:8" ht="15.75" thickBot="1" x14ac:dyDescent="0.3">
      <c r="B698" s="438"/>
      <c r="C698" s="440"/>
      <c r="D698" s="416"/>
      <c r="E698" s="312" t="s">
        <v>65</v>
      </c>
      <c r="F698" s="255" t="s">
        <v>533</v>
      </c>
      <c r="G698" s="483">
        <v>9500000</v>
      </c>
      <c r="H698" s="298" t="s">
        <v>376</v>
      </c>
    </row>
    <row r="699" spans="2:8" ht="15.75" thickBot="1" x14ac:dyDescent="0.3">
      <c r="B699" s="438"/>
      <c r="C699" s="440"/>
      <c r="D699" s="416"/>
      <c r="E699" s="455" t="s">
        <v>768</v>
      </c>
      <c r="F699" s="254"/>
      <c r="G699" s="576">
        <f>SUM(G696:G698)</f>
        <v>18400000</v>
      </c>
      <c r="H699" s="297"/>
    </row>
    <row r="700" spans="2:8" ht="30" thickBot="1" x14ac:dyDescent="0.3">
      <c r="B700" s="438"/>
      <c r="C700" s="440"/>
      <c r="D700" s="410"/>
      <c r="E700" s="206" t="s">
        <v>937</v>
      </c>
      <c r="F700" s="32" t="s">
        <v>388</v>
      </c>
      <c r="G700" s="186">
        <v>1500000</v>
      </c>
      <c r="H700" s="32" t="s">
        <v>938</v>
      </c>
    </row>
    <row r="701" spans="2:8" x14ac:dyDescent="0.25">
      <c r="B701" s="438"/>
      <c r="C701" s="440"/>
      <c r="D701" s="410"/>
      <c r="E701" s="368"/>
      <c r="F701" s="163" t="s">
        <v>389</v>
      </c>
      <c r="G701" s="215">
        <v>3000000</v>
      </c>
      <c r="H701" s="35" t="s">
        <v>547</v>
      </c>
    </row>
    <row r="702" spans="2:8" ht="15.75" thickBot="1" x14ac:dyDescent="0.3">
      <c r="B702" s="438"/>
      <c r="C702" s="440"/>
      <c r="D702" s="410"/>
      <c r="E702" s="13"/>
      <c r="F702" s="32" t="s">
        <v>533</v>
      </c>
      <c r="G702" s="186">
        <v>26000000</v>
      </c>
      <c r="H702" s="14" t="s">
        <v>376</v>
      </c>
    </row>
    <row r="703" spans="2:8" ht="15.75" thickBot="1" x14ac:dyDescent="0.3">
      <c r="B703" s="438"/>
      <c r="C703" s="440"/>
      <c r="D703" s="410"/>
      <c r="E703" s="375"/>
      <c r="F703" s="374" t="s">
        <v>568</v>
      </c>
      <c r="G703" s="460">
        <v>1500000</v>
      </c>
      <c r="H703" s="375" t="s">
        <v>376</v>
      </c>
    </row>
    <row r="704" spans="2:8" ht="15.75" thickBot="1" x14ac:dyDescent="0.3">
      <c r="B704" s="438"/>
      <c r="C704" s="440"/>
      <c r="D704" s="416"/>
      <c r="E704" s="455" t="s">
        <v>770</v>
      </c>
      <c r="F704" s="254"/>
      <c r="G704" s="576">
        <f>SUM(G700:G703)</f>
        <v>32000000</v>
      </c>
      <c r="H704" s="297"/>
    </row>
    <row r="705" spans="2:8" ht="29.25" x14ac:dyDescent="0.25">
      <c r="B705" s="438"/>
      <c r="C705" s="440"/>
      <c r="D705" s="370"/>
      <c r="E705" s="164" t="s">
        <v>939</v>
      </c>
      <c r="F705" s="6" t="s">
        <v>529</v>
      </c>
      <c r="G705" s="457">
        <v>250000</v>
      </c>
      <c r="H705" s="35" t="s">
        <v>550</v>
      </c>
    </row>
    <row r="706" spans="2:8" ht="15.75" thickBot="1" x14ac:dyDescent="0.3">
      <c r="B706" s="438"/>
      <c r="C706" s="440"/>
      <c r="D706" s="410"/>
      <c r="E706" s="14"/>
      <c r="F706" s="32" t="s">
        <v>533</v>
      </c>
      <c r="G706" s="186">
        <v>4750000</v>
      </c>
      <c r="H706" s="32" t="s">
        <v>376</v>
      </c>
    </row>
    <row r="707" spans="2:8" ht="15.75" thickBot="1" x14ac:dyDescent="0.3">
      <c r="B707" s="438"/>
      <c r="C707" s="440"/>
      <c r="D707" s="410"/>
      <c r="E707" s="263" t="s">
        <v>772</v>
      </c>
      <c r="F707" s="375"/>
      <c r="G707" s="187">
        <f>SUM(G705:G706)</f>
        <v>5000000</v>
      </c>
      <c r="H707" s="375"/>
    </row>
    <row r="708" spans="2:8" ht="22.5" customHeight="1" x14ac:dyDescent="0.25">
      <c r="B708" s="438"/>
      <c r="C708" s="440"/>
      <c r="D708" s="370"/>
      <c r="E708" s="305" t="s">
        <v>1469</v>
      </c>
      <c r="F708" s="175" t="s">
        <v>388</v>
      </c>
      <c r="G708" s="560">
        <v>2500000</v>
      </c>
      <c r="H708" s="393" t="s">
        <v>547</v>
      </c>
    </row>
    <row r="709" spans="2:8" x14ac:dyDescent="0.25">
      <c r="B709" s="438"/>
      <c r="C709" s="440"/>
      <c r="D709" s="410"/>
      <c r="E709" s="372"/>
      <c r="F709" s="385" t="s">
        <v>389</v>
      </c>
      <c r="G709" s="475">
        <v>5000000</v>
      </c>
      <c r="H709" s="387" t="s">
        <v>376</v>
      </c>
    </row>
    <row r="710" spans="2:8" x14ac:dyDescent="0.25">
      <c r="B710" s="438"/>
      <c r="C710" s="440"/>
      <c r="D710" s="410"/>
      <c r="E710" s="372"/>
      <c r="F710" s="385" t="s">
        <v>530</v>
      </c>
      <c r="G710" s="475">
        <v>40000000</v>
      </c>
      <c r="H710" s="387" t="s">
        <v>376</v>
      </c>
    </row>
    <row r="711" spans="2:8" ht="15.75" thickBot="1" x14ac:dyDescent="0.3">
      <c r="B711" s="438"/>
      <c r="C711" s="440"/>
      <c r="D711" s="410"/>
      <c r="E711" s="15"/>
      <c r="F711" s="398" t="s">
        <v>940</v>
      </c>
      <c r="G711" s="473">
        <v>25000000</v>
      </c>
      <c r="H711" s="396" t="s">
        <v>376</v>
      </c>
    </row>
    <row r="712" spans="2:8" ht="15.75" thickBot="1" x14ac:dyDescent="0.3">
      <c r="B712" s="438"/>
      <c r="C712" s="440"/>
      <c r="D712" s="410"/>
      <c r="E712" s="373" t="s">
        <v>573</v>
      </c>
      <c r="F712" s="375"/>
      <c r="G712" s="187">
        <f>SUM(G708:G711)</f>
        <v>72500000</v>
      </c>
      <c r="H712" s="374" t="s">
        <v>376</v>
      </c>
    </row>
    <row r="713" spans="2:8" ht="15.75" thickBot="1" x14ac:dyDescent="0.3">
      <c r="B713" s="438"/>
      <c r="C713" s="440"/>
      <c r="D713" s="434"/>
      <c r="E713" s="565" t="s">
        <v>941</v>
      </c>
      <c r="F713" s="389" t="s">
        <v>1470</v>
      </c>
      <c r="G713" s="461">
        <v>375000000</v>
      </c>
      <c r="H713" s="393" t="s">
        <v>550</v>
      </c>
    </row>
    <row r="714" spans="2:8" x14ac:dyDescent="0.25">
      <c r="B714" s="438"/>
      <c r="C714" s="440"/>
      <c r="E714" s="376"/>
      <c r="F714" s="388" t="s">
        <v>389</v>
      </c>
      <c r="G714" s="475">
        <v>750000000</v>
      </c>
      <c r="H714" s="387" t="s">
        <v>376</v>
      </c>
    </row>
    <row r="715" spans="2:8" x14ac:dyDescent="0.25">
      <c r="B715" s="438"/>
      <c r="C715" s="440"/>
      <c r="E715" s="376"/>
      <c r="F715" s="388" t="s">
        <v>533</v>
      </c>
      <c r="G715" s="475">
        <v>6000000000</v>
      </c>
      <c r="H715" s="387" t="s">
        <v>376</v>
      </c>
    </row>
    <row r="716" spans="2:8" ht="15.75" thickBot="1" x14ac:dyDescent="0.3">
      <c r="B716" s="438"/>
      <c r="C716" s="440"/>
      <c r="E716" s="376"/>
      <c r="F716" s="509" t="s">
        <v>568</v>
      </c>
      <c r="G716" s="956">
        <v>375000000</v>
      </c>
      <c r="H716" s="563" t="s">
        <v>376</v>
      </c>
    </row>
    <row r="717" spans="2:8" ht="15.75" thickBot="1" x14ac:dyDescent="0.3">
      <c r="B717" s="438"/>
      <c r="C717" s="440"/>
      <c r="E717" s="958" t="s">
        <v>577</v>
      </c>
      <c r="F717" s="959"/>
      <c r="G717" s="960">
        <f>SUM(G713:G716)</f>
        <v>7500000000</v>
      </c>
      <c r="H717" s="861" t="s">
        <v>376</v>
      </c>
    </row>
    <row r="718" spans="2:8" ht="15.75" thickBot="1" x14ac:dyDescent="0.3">
      <c r="B718" s="438"/>
      <c r="C718" s="440"/>
      <c r="D718" s="961" t="s">
        <v>942</v>
      </c>
      <c r="E718" s="962"/>
      <c r="F718" s="962"/>
      <c r="G718" s="846">
        <f>G699+G704+G707+G712+G717</f>
        <v>7627900000</v>
      </c>
      <c r="H718" s="836"/>
    </row>
    <row r="719" spans="2:8" ht="15.75" thickBot="1" x14ac:dyDescent="0.3">
      <c r="B719" s="445" t="s">
        <v>1197</v>
      </c>
      <c r="C719" s="444" t="s">
        <v>1398</v>
      </c>
      <c r="D719" s="406"/>
      <c r="E719" s="183" t="s">
        <v>22</v>
      </c>
      <c r="F719" s="231" t="s">
        <v>27</v>
      </c>
      <c r="G719" s="494" t="s">
        <v>362</v>
      </c>
      <c r="H719" s="265" t="s">
        <v>1175</v>
      </c>
    </row>
    <row r="720" spans="2:8" ht="45.75" thickBot="1" x14ac:dyDescent="0.3">
      <c r="B720" s="438" t="s">
        <v>1397</v>
      </c>
      <c r="C720" s="440" t="s">
        <v>1399</v>
      </c>
      <c r="D720" s="413" t="s">
        <v>23</v>
      </c>
      <c r="E720" s="374" t="s">
        <v>943</v>
      </c>
      <c r="F720" s="375"/>
      <c r="G720" s="559"/>
      <c r="H720" s="375"/>
    </row>
    <row r="721" spans="2:8" ht="42.75" x14ac:dyDescent="0.25">
      <c r="B721" s="438"/>
      <c r="C721" s="440"/>
      <c r="D721" s="543" t="s">
        <v>24</v>
      </c>
      <c r="E721" s="175" t="s">
        <v>944</v>
      </c>
      <c r="F721" s="166" t="s">
        <v>945</v>
      </c>
      <c r="G721" s="541" t="s">
        <v>1708</v>
      </c>
      <c r="H721" s="176" t="s">
        <v>477</v>
      </c>
    </row>
    <row r="722" spans="2:8" ht="28.5" x14ac:dyDescent="0.25">
      <c r="B722" s="438"/>
      <c r="C722" s="440"/>
      <c r="D722" s="371"/>
      <c r="E722" s="385" t="s">
        <v>1471</v>
      </c>
      <c r="F722" s="386" t="s">
        <v>1472</v>
      </c>
      <c r="G722" s="580"/>
      <c r="H722" s="387" t="s">
        <v>477</v>
      </c>
    </row>
    <row r="723" spans="2:8" ht="57.75" thickBot="1" x14ac:dyDescent="0.3">
      <c r="B723" s="438"/>
      <c r="C723" s="440"/>
      <c r="D723" s="813"/>
      <c r="E723" s="688" t="s">
        <v>946</v>
      </c>
      <c r="F723" s="170" t="s">
        <v>947</v>
      </c>
      <c r="G723" s="547" t="s">
        <v>1709</v>
      </c>
      <c r="H723" s="563" t="s">
        <v>477</v>
      </c>
    </row>
    <row r="724" spans="2:8" ht="30" thickBot="1" x14ac:dyDescent="0.3">
      <c r="B724" s="438"/>
      <c r="C724" s="440"/>
      <c r="D724" s="815" t="s">
        <v>25</v>
      </c>
      <c r="E724" s="225" t="s">
        <v>948</v>
      </c>
      <c r="F724" s="200" t="s">
        <v>949</v>
      </c>
      <c r="G724" s="557" t="s">
        <v>1710</v>
      </c>
      <c r="H724" s="201" t="s">
        <v>950</v>
      </c>
    </row>
    <row r="725" spans="2:8" ht="30" thickBot="1" x14ac:dyDescent="0.3">
      <c r="B725" s="438"/>
      <c r="C725" s="440"/>
      <c r="D725" s="546"/>
      <c r="E725" s="455" t="s">
        <v>1473</v>
      </c>
      <c r="F725" s="200" t="s">
        <v>1474</v>
      </c>
      <c r="G725" s="323" t="s">
        <v>951</v>
      </c>
      <c r="H725" s="201" t="s">
        <v>547</v>
      </c>
    </row>
    <row r="726" spans="2:8" ht="43.5" thickBot="1" x14ac:dyDescent="0.3">
      <c r="B726" s="438"/>
      <c r="C726" s="440"/>
      <c r="D726" s="173"/>
      <c r="E726" s="225" t="s">
        <v>952</v>
      </c>
      <c r="F726" s="200" t="s">
        <v>953</v>
      </c>
      <c r="G726" s="557" t="s">
        <v>1711</v>
      </c>
      <c r="H726" s="230"/>
    </row>
    <row r="727" spans="2:8" ht="15.75" thickBot="1" x14ac:dyDescent="0.3">
      <c r="B727" s="438"/>
      <c r="C727" s="440"/>
      <c r="E727" s="455" t="s">
        <v>26</v>
      </c>
      <c r="F727" s="231" t="s">
        <v>380</v>
      </c>
      <c r="G727" s="527" t="s">
        <v>21</v>
      </c>
      <c r="H727" s="265" t="s">
        <v>934</v>
      </c>
    </row>
    <row r="728" spans="2:8" ht="30" thickBot="1" x14ac:dyDescent="0.3">
      <c r="B728" s="438"/>
      <c r="C728" s="440"/>
      <c r="E728" s="346" t="s">
        <v>954</v>
      </c>
      <c r="F728" s="32" t="s">
        <v>936</v>
      </c>
      <c r="G728" s="186">
        <v>8400000</v>
      </c>
      <c r="H728" s="32" t="s">
        <v>426</v>
      </c>
    </row>
    <row r="729" spans="2:8" ht="58.5" thickBot="1" x14ac:dyDescent="0.3">
      <c r="B729" s="438"/>
      <c r="C729" s="440"/>
      <c r="E729" s="210" t="s">
        <v>1476</v>
      </c>
      <c r="F729" s="163" t="s">
        <v>955</v>
      </c>
      <c r="G729" s="215">
        <v>5000000</v>
      </c>
      <c r="H729" s="163" t="s">
        <v>376</v>
      </c>
    </row>
    <row r="730" spans="2:8" ht="29.25" x14ac:dyDescent="0.25">
      <c r="B730" s="438"/>
      <c r="C730" s="440"/>
      <c r="E730" s="309" t="s">
        <v>1475</v>
      </c>
      <c r="F730" s="175" t="s">
        <v>388</v>
      </c>
      <c r="G730" s="560">
        <v>1250000</v>
      </c>
      <c r="H730" s="176" t="s">
        <v>956</v>
      </c>
    </row>
    <row r="731" spans="2:8" x14ac:dyDescent="0.25">
      <c r="B731" s="438"/>
      <c r="C731" s="440"/>
      <c r="E731" s="383"/>
      <c r="F731" s="385" t="s">
        <v>389</v>
      </c>
      <c r="G731" s="475">
        <v>2500000</v>
      </c>
      <c r="H731" s="387" t="s">
        <v>376</v>
      </c>
    </row>
    <row r="732" spans="2:8" x14ac:dyDescent="0.25">
      <c r="B732" s="438"/>
      <c r="C732" s="440"/>
      <c r="E732" s="383"/>
      <c r="F732" s="385" t="s">
        <v>530</v>
      </c>
      <c r="G732" s="475">
        <v>20000000</v>
      </c>
      <c r="H732" s="387" t="s">
        <v>376</v>
      </c>
    </row>
    <row r="733" spans="2:8" ht="15.75" thickBot="1" x14ac:dyDescent="0.3">
      <c r="B733" s="438"/>
      <c r="C733" s="440"/>
      <c r="E733" s="384"/>
      <c r="F733" s="398" t="s">
        <v>940</v>
      </c>
      <c r="G733" s="473">
        <v>1250000</v>
      </c>
      <c r="H733" s="396" t="s">
        <v>376</v>
      </c>
    </row>
    <row r="734" spans="2:8" ht="15.75" thickBot="1" x14ac:dyDescent="0.3">
      <c r="B734" s="438"/>
      <c r="C734" s="440"/>
      <c r="E734" s="346" t="s">
        <v>569</v>
      </c>
      <c r="F734" s="14"/>
      <c r="G734" s="185">
        <f>SUM(G728:G733)</f>
        <v>38400000</v>
      </c>
      <c r="H734" s="14"/>
    </row>
    <row r="735" spans="2:8" ht="29.25" thickBot="1" x14ac:dyDescent="0.3">
      <c r="B735" s="438"/>
      <c r="C735" s="440"/>
      <c r="E735" s="34" t="s">
        <v>1477</v>
      </c>
      <c r="F735" s="35" t="s">
        <v>1478</v>
      </c>
      <c r="G735" s="215">
        <v>5000000</v>
      </c>
      <c r="H735" s="35" t="s">
        <v>370</v>
      </c>
    </row>
    <row r="736" spans="2:8" ht="15.75" thickBot="1" x14ac:dyDescent="0.3">
      <c r="B736" s="438"/>
      <c r="C736" s="440"/>
      <c r="D736" s="844" t="s">
        <v>957</v>
      </c>
      <c r="E736" s="836"/>
      <c r="F736" s="845"/>
      <c r="G736" s="846">
        <f>G734+G735</f>
        <v>43400000</v>
      </c>
      <c r="H736" s="836"/>
    </row>
    <row r="737" spans="2:8" ht="15.75" thickBot="1" x14ac:dyDescent="0.3">
      <c r="B737" s="443" t="s">
        <v>1197</v>
      </c>
      <c r="C737" s="443" t="s">
        <v>1383</v>
      </c>
      <c r="D737" s="406"/>
      <c r="E737" s="183" t="s">
        <v>22</v>
      </c>
      <c r="F737" s="231" t="s">
        <v>27</v>
      </c>
      <c r="G737" s="326" t="s">
        <v>362</v>
      </c>
      <c r="H737" s="265" t="s">
        <v>1175</v>
      </c>
    </row>
    <row r="738" spans="2:8" ht="123" customHeight="1" thickBot="1" x14ac:dyDescent="0.3">
      <c r="B738" s="438" t="s">
        <v>1479</v>
      </c>
      <c r="C738" s="440" t="s">
        <v>1480</v>
      </c>
      <c r="D738" s="413" t="s">
        <v>23</v>
      </c>
      <c r="E738" s="374" t="s">
        <v>958</v>
      </c>
      <c r="F738" s="375"/>
      <c r="G738" s="472"/>
      <c r="H738" s="375"/>
    </row>
    <row r="739" spans="2:8" ht="43.5" thickBot="1" x14ac:dyDescent="0.3">
      <c r="B739" s="438"/>
      <c r="C739" s="440"/>
      <c r="D739" s="191" t="s">
        <v>1481</v>
      </c>
      <c r="E739" s="582" t="s">
        <v>959</v>
      </c>
      <c r="F739" s="200" t="s">
        <v>960</v>
      </c>
      <c r="G739" s="583" t="s">
        <v>961</v>
      </c>
      <c r="H739" s="294" t="s">
        <v>1482</v>
      </c>
    </row>
    <row r="740" spans="2:8" ht="30" thickBot="1" x14ac:dyDescent="0.3">
      <c r="B740" s="438"/>
      <c r="C740" s="534"/>
      <c r="D740" s="543" t="s">
        <v>25</v>
      </c>
      <c r="E740" s="816" t="s">
        <v>962</v>
      </c>
      <c r="F740" s="814" t="s">
        <v>963</v>
      </c>
      <c r="G740" s="157" t="s">
        <v>964</v>
      </c>
      <c r="H740" s="814" t="s">
        <v>965</v>
      </c>
    </row>
    <row r="741" spans="2:8" ht="44.25" thickBot="1" x14ac:dyDescent="0.3">
      <c r="B741" s="438"/>
      <c r="C741" s="534"/>
      <c r="D741" s="813"/>
      <c r="E741" s="455" t="s">
        <v>1483</v>
      </c>
      <c r="F741" s="200" t="s">
        <v>966</v>
      </c>
      <c r="G741" s="557" t="s">
        <v>1712</v>
      </c>
      <c r="H741" s="201" t="s">
        <v>426</v>
      </c>
    </row>
    <row r="742" spans="2:8" ht="15.75" thickBot="1" x14ac:dyDescent="0.3">
      <c r="B742" s="438"/>
      <c r="C742" s="440"/>
      <c r="D742" s="401" t="s">
        <v>26</v>
      </c>
      <c r="E742" s="21"/>
      <c r="F742" s="188" t="s">
        <v>380</v>
      </c>
      <c r="G742" s="554" t="s">
        <v>21</v>
      </c>
      <c r="H742" s="373" t="s">
        <v>934</v>
      </c>
    </row>
    <row r="743" spans="2:8" ht="44.25" thickBot="1" x14ac:dyDescent="0.3">
      <c r="B743" s="438"/>
      <c r="C743" s="440"/>
      <c r="D743" s="416"/>
      <c r="E743" s="455" t="s">
        <v>1484</v>
      </c>
      <c r="F743" s="193" t="s">
        <v>1485</v>
      </c>
      <c r="G743" s="204">
        <v>50000</v>
      </c>
      <c r="H743" s="202" t="s">
        <v>967</v>
      </c>
    </row>
    <row r="744" spans="2:8" ht="29.25" x14ac:dyDescent="0.25">
      <c r="B744" s="438"/>
      <c r="C744" s="440"/>
      <c r="D744" s="894"/>
      <c r="E744" s="565" t="s">
        <v>1487</v>
      </c>
      <c r="F744" s="397" t="s">
        <v>968</v>
      </c>
      <c r="G744" s="461">
        <v>200000</v>
      </c>
      <c r="H744" s="393" t="s">
        <v>1486</v>
      </c>
    </row>
    <row r="745" spans="2:8" ht="29.25" thickBot="1" x14ac:dyDescent="0.3">
      <c r="B745" s="438"/>
      <c r="C745" s="440"/>
      <c r="D745" s="894"/>
      <c r="E745" s="459"/>
      <c r="F745" s="216" t="s">
        <v>969</v>
      </c>
      <c r="G745" s="473" t="s">
        <v>20</v>
      </c>
      <c r="H745" s="396" t="s">
        <v>1488</v>
      </c>
    </row>
    <row r="746" spans="2:8" ht="15.75" thickBot="1" x14ac:dyDescent="0.3">
      <c r="B746" s="438"/>
      <c r="C746" s="440"/>
      <c r="D746" s="894"/>
      <c r="E746" s="455" t="s">
        <v>392</v>
      </c>
      <c r="F746" s="963"/>
      <c r="G746" s="489">
        <f>SUM(G743:G745)</f>
        <v>250000</v>
      </c>
      <c r="H746" s="294"/>
    </row>
    <row r="747" spans="2:8" ht="29.25" x14ac:dyDescent="0.25">
      <c r="B747" s="438"/>
      <c r="C747" s="440"/>
      <c r="D747" s="893"/>
      <c r="E747" s="206" t="s">
        <v>1489</v>
      </c>
      <c r="F747" s="6" t="s">
        <v>970</v>
      </c>
      <c r="G747" s="490">
        <v>10000000</v>
      </c>
      <c r="H747" s="6" t="s">
        <v>971</v>
      </c>
    </row>
    <row r="748" spans="2:8" ht="29.25" thickBot="1" x14ac:dyDescent="0.3">
      <c r="B748" s="438"/>
      <c r="C748" s="440"/>
      <c r="D748" s="893"/>
      <c r="E748" s="14"/>
      <c r="F748" s="32" t="s">
        <v>972</v>
      </c>
      <c r="G748" s="493">
        <v>7000000</v>
      </c>
      <c r="H748" s="32" t="s">
        <v>376</v>
      </c>
    </row>
    <row r="749" spans="2:8" x14ac:dyDescent="0.25">
      <c r="B749" s="438"/>
      <c r="C749" s="440"/>
      <c r="D749" s="893"/>
      <c r="E749" s="206" t="s">
        <v>973</v>
      </c>
      <c r="F749" s="916" t="s">
        <v>975</v>
      </c>
      <c r="G749" s="929">
        <v>5000000</v>
      </c>
      <c r="H749" s="916" t="s">
        <v>965</v>
      </c>
    </row>
    <row r="750" spans="2:8" ht="29.25" thickBot="1" x14ac:dyDescent="0.3">
      <c r="B750" s="438"/>
      <c r="C750" s="440"/>
      <c r="D750" s="893"/>
      <c r="E750" s="32" t="s">
        <v>974</v>
      </c>
      <c r="F750" s="913"/>
      <c r="G750" s="930"/>
      <c r="H750" s="913"/>
    </row>
    <row r="751" spans="2:8" ht="44.25" thickBot="1" x14ac:dyDescent="0.3">
      <c r="B751" s="438"/>
      <c r="C751" s="440"/>
      <c r="D751" s="893"/>
      <c r="E751" s="206" t="s">
        <v>1490</v>
      </c>
      <c r="F751" s="32" t="s">
        <v>976</v>
      </c>
      <c r="G751" s="493">
        <v>600000</v>
      </c>
      <c r="H751" s="32" t="s">
        <v>426</v>
      </c>
    </row>
    <row r="752" spans="2:8" x14ac:dyDescent="0.25">
      <c r="B752" s="438"/>
      <c r="C752" s="440"/>
      <c r="D752" s="893"/>
      <c r="E752" s="35"/>
      <c r="F752" s="35" t="s">
        <v>977</v>
      </c>
      <c r="G752" s="929">
        <v>200000</v>
      </c>
      <c r="H752" s="923"/>
    </row>
    <row r="753" spans="2:8" ht="15.75" thickBot="1" x14ac:dyDescent="0.3">
      <c r="B753" s="438"/>
      <c r="C753" s="440"/>
      <c r="D753" s="893"/>
      <c r="E753" s="14"/>
      <c r="F753" s="32" t="s">
        <v>978</v>
      </c>
      <c r="G753" s="930"/>
      <c r="H753" s="946"/>
    </row>
    <row r="754" spans="2:8" ht="30" thickBot="1" x14ac:dyDescent="0.3">
      <c r="B754" s="438"/>
      <c r="C754" s="440"/>
      <c r="D754" s="893"/>
      <c r="E754" s="206" t="s">
        <v>1491</v>
      </c>
      <c r="F754" s="163" t="s">
        <v>979</v>
      </c>
      <c r="G754" s="380">
        <v>2000000</v>
      </c>
      <c r="H754" s="163" t="s">
        <v>376</v>
      </c>
    </row>
    <row r="755" spans="2:8" ht="15.75" thickBot="1" x14ac:dyDescent="0.3">
      <c r="B755" s="438"/>
      <c r="C755" s="440"/>
      <c r="D755" s="871"/>
      <c r="E755" s="455" t="s">
        <v>1733</v>
      </c>
      <c r="F755" s="582"/>
      <c r="G755" s="576">
        <f>SUM(G747:G754)</f>
        <v>24800000</v>
      </c>
      <c r="H755" s="355"/>
    </row>
    <row r="756" spans="2:8" ht="15.75" thickBot="1" x14ac:dyDescent="0.3">
      <c r="B756" s="438"/>
      <c r="C756" s="440"/>
      <c r="D756" s="964" t="s">
        <v>1734</v>
      </c>
      <c r="E756" s="965"/>
      <c r="F756" s="966"/>
      <c r="G756" s="846">
        <f>G746+G755</f>
        <v>25050000</v>
      </c>
      <c r="H756" s="836"/>
    </row>
    <row r="757" spans="2:8" ht="15.75" thickBot="1" x14ac:dyDescent="0.3">
      <c r="B757" s="443" t="s">
        <v>1197</v>
      </c>
      <c r="C757" s="443" t="s">
        <v>1383</v>
      </c>
      <c r="D757" s="406"/>
      <c r="E757" s="183" t="s">
        <v>22</v>
      </c>
      <c r="F757" s="231" t="s">
        <v>27</v>
      </c>
      <c r="G757" s="326" t="s">
        <v>362</v>
      </c>
      <c r="H757" s="265" t="s">
        <v>1175</v>
      </c>
    </row>
    <row r="758" spans="2:8" ht="45.75" thickBot="1" x14ac:dyDescent="0.3">
      <c r="B758" s="438" t="s">
        <v>11</v>
      </c>
      <c r="C758" s="440" t="s">
        <v>1492</v>
      </c>
      <c r="D758" s="191" t="s">
        <v>23</v>
      </c>
      <c r="E758" s="293" t="s">
        <v>980</v>
      </c>
      <c r="F758" s="254"/>
      <c r="G758" s="482"/>
      <c r="H758" s="297"/>
    </row>
    <row r="759" spans="2:8" ht="30" thickBot="1" x14ac:dyDescent="0.3">
      <c r="B759" s="438"/>
      <c r="C759" s="440"/>
      <c r="D759" s="875" t="s">
        <v>1736</v>
      </c>
      <c r="E759" s="455" t="s">
        <v>1493</v>
      </c>
      <c r="F759" s="200" t="s">
        <v>981</v>
      </c>
      <c r="G759" s="557" t="s">
        <v>1713</v>
      </c>
      <c r="H759" s="294" t="s">
        <v>1714</v>
      </c>
    </row>
    <row r="760" spans="2:8" ht="29.25" thickBot="1" x14ac:dyDescent="0.3">
      <c r="B760" s="438"/>
      <c r="C760" s="440"/>
      <c r="D760" s="546"/>
      <c r="E760" s="374" t="s">
        <v>983</v>
      </c>
      <c r="F760" s="374" t="s">
        <v>984</v>
      </c>
      <c r="G760" s="157" t="s">
        <v>985</v>
      </c>
      <c r="H760" s="374" t="s">
        <v>986</v>
      </c>
    </row>
    <row r="761" spans="2:8" ht="43.5" thickBot="1" x14ac:dyDescent="0.3">
      <c r="B761" s="438"/>
      <c r="C761" s="440"/>
      <c r="D761" s="546"/>
      <c r="E761" s="249" t="s">
        <v>1494</v>
      </c>
      <c r="F761" s="200" t="s">
        <v>987</v>
      </c>
      <c r="G761" s="323" t="s">
        <v>488</v>
      </c>
      <c r="H761" s="201" t="s">
        <v>988</v>
      </c>
    </row>
    <row r="762" spans="2:8" ht="30" thickBot="1" x14ac:dyDescent="0.3">
      <c r="B762" s="438"/>
      <c r="C762" s="534"/>
      <c r="D762" s="543" t="s">
        <v>25</v>
      </c>
      <c r="E762" s="231" t="s">
        <v>1495</v>
      </c>
      <c r="F762" s="249" t="s">
        <v>1496</v>
      </c>
      <c r="G762" s="557" t="s">
        <v>1497</v>
      </c>
      <c r="H762" s="201" t="s">
        <v>373</v>
      </c>
    </row>
    <row r="763" spans="2:8" ht="30" thickBot="1" x14ac:dyDescent="0.3">
      <c r="B763" s="438"/>
      <c r="C763" s="534"/>
      <c r="D763" s="546"/>
      <c r="E763" s="373" t="s">
        <v>1498</v>
      </c>
      <c r="F763" s="32" t="s">
        <v>1499</v>
      </c>
      <c r="G763" s="212" t="s">
        <v>1500</v>
      </c>
      <c r="H763" s="32" t="s">
        <v>928</v>
      </c>
    </row>
    <row r="764" spans="2:8" ht="30" thickBot="1" x14ac:dyDescent="0.3">
      <c r="B764" s="438"/>
      <c r="C764" s="534"/>
      <c r="D764" s="173"/>
      <c r="E764" s="265" t="s">
        <v>1501</v>
      </c>
      <c r="F764" s="174" t="s">
        <v>989</v>
      </c>
      <c r="G764" s="215" t="s">
        <v>990</v>
      </c>
      <c r="H764" s="163" t="s">
        <v>928</v>
      </c>
    </row>
    <row r="765" spans="2:8" ht="30" thickBot="1" x14ac:dyDescent="0.3">
      <c r="B765" s="438"/>
      <c r="C765" s="534"/>
      <c r="D765" s="173"/>
      <c r="E765" s="373" t="s">
        <v>1502</v>
      </c>
      <c r="F765" s="163" t="s">
        <v>991</v>
      </c>
      <c r="G765" s="584" t="s">
        <v>373</v>
      </c>
      <c r="H765" s="213" t="s">
        <v>426</v>
      </c>
    </row>
    <row r="766" spans="2:8" ht="15.75" thickBot="1" x14ac:dyDescent="0.3">
      <c r="B766" s="438"/>
      <c r="C766" s="440"/>
      <c r="D766" s="225" t="s">
        <v>26</v>
      </c>
      <c r="E766" s="585"/>
      <c r="F766" s="162" t="s">
        <v>380</v>
      </c>
      <c r="G766" s="555" t="s">
        <v>21</v>
      </c>
      <c r="H766" s="265" t="s">
        <v>934</v>
      </c>
    </row>
    <row r="767" spans="2:8" ht="30" thickBot="1" x14ac:dyDescent="0.3">
      <c r="B767" s="438"/>
      <c r="C767" s="440"/>
      <c r="E767" s="455" t="s">
        <v>1715</v>
      </c>
      <c r="F767" s="200" t="s">
        <v>388</v>
      </c>
      <c r="G767" s="323">
        <v>17500000</v>
      </c>
      <c r="H767" s="294" t="s">
        <v>1716</v>
      </c>
    </row>
    <row r="768" spans="2:8" ht="15.75" thickBot="1" x14ac:dyDescent="0.3">
      <c r="B768" s="438"/>
      <c r="C768" s="440"/>
      <c r="E768" s="208"/>
      <c r="F768" s="32" t="s">
        <v>389</v>
      </c>
      <c r="G768" s="186">
        <v>35000000</v>
      </c>
      <c r="H768" s="32" t="s">
        <v>376</v>
      </c>
    </row>
    <row r="769" spans="2:8" x14ac:dyDescent="0.25">
      <c r="B769" s="438"/>
      <c r="C769" s="440"/>
      <c r="E769" s="208"/>
      <c r="F769" s="35" t="s">
        <v>533</v>
      </c>
      <c r="G769" s="460">
        <v>280000000</v>
      </c>
      <c r="H769" s="35" t="s">
        <v>376</v>
      </c>
    </row>
    <row r="770" spans="2:8" ht="15.75" thickBot="1" x14ac:dyDescent="0.3">
      <c r="B770" s="438"/>
      <c r="C770" s="440"/>
      <c r="E770" s="208"/>
      <c r="F770" s="814" t="s">
        <v>568</v>
      </c>
      <c r="G770" s="187">
        <v>17500000</v>
      </c>
      <c r="H770" s="814" t="s">
        <v>376</v>
      </c>
    </row>
    <row r="771" spans="2:8" ht="15.75" thickBot="1" x14ac:dyDescent="0.3">
      <c r="B771" s="438"/>
      <c r="C771" s="440"/>
      <c r="E771" s="455" t="s">
        <v>1735</v>
      </c>
      <c r="F771" s="254"/>
      <c r="G771" s="576">
        <f>SUM(G767:G770)</f>
        <v>350000000</v>
      </c>
      <c r="H771" s="297"/>
    </row>
    <row r="772" spans="2:8" ht="28.5" customHeight="1" thickBot="1" x14ac:dyDescent="0.3">
      <c r="B772" s="438"/>
      <c r="C772" s="440"/>
      <c r="E772" s="890" t="s">
        <v>1737</v>
      </c>
      <c r="F772" s="532" t="s">
        <v>388</v>
      </c>
      <c r="G772" s="323">
        <v>2500000</v>
      </c>
      <c r="H772" s="294" t="s">
        <v>1716</v>
      </c>
    </row>
    <row r="773" spans="2:8" ht="15.75" thickBot="1" x14ac:dyDescent="0.3">
      <c r="B773" s="438"/>
      <c r="C773" s="440"/>
      <c r="E773" s="208"/>
      <c r="F773" s="32" t="s">
        <v>389</v>
      </c>
      <c r="G773" s="186">
        <v>5000000</v>
      </c>
      <c r="H773" s="32" t="s">
        <v>376</v>
      </c>
    </row>
    <row r="774" spans="2:8" ht="15.75" thickBot="1" x14ac:dyDescent="0.3">
      <c r="B774" s="438"/>
      <c r="C774" s="440"/>
      <c r="E774" s="208"/>
      <c r="F774" s="814" t="s">
        <v>533</v>
      </c>
      <c r="G774" s="460">
        <v>40000000</v>
      </c>
      <c r="H774" s="814" t="s">
        <v>376</v>
      </c>
    </row>
    <row r="775" spans="2:8" ht="15.75" thickBot="1" x14ac:dyDescent="0.3">
      <c r="B775" s="438"/>
      <c r="C775" s="440"/>
      <c r="E775" s="245"/>
      <c r="F775" s="293" t="s">
        <v>627</v>
      </c>
      <c r="G775" s="323">
        <v>2500000</v>
      </c>
      <c r="H775" s="201" t="s">
        <v>376</v>
      </c>
    </row>
    <row r="776" spans="2:8" ht="15.75" thickBot="1" x14ac:dyDescent="0.3">
      <c r="B776" s="438"/>
      <c r="C776" s="440"/>
      <c r="E776" s="558" t="s">
        <v>1733</v>
      </c>
      <c r="F776" s="254"/>
      <c r="G776" s="576">
        <f>SUM(G772:G775)</f>
        <v>50000000</v>
      </c>
      <c r="H776" s="297"/>
    </row>
    <row r="777" spans="2:8" ht="29.25" customHeight="1" thickBot="1" x14ac:dyDescent="0.3">
      <c r="B777" s="438"/>
      <c r="C777" s="440"/>
      <c r="E777" s="172" t="s">
        <v>992</v>
      </c>
      <c r="F777" s="582" t="s">
        <v>529</v>
      </c>
      <c r="G777" s="323">
        <v>900000</v>
      </c>
      <c r="H777" s="294" t="s">
        <v>1717</v>
      </c>
    </row>
    <row r="778" spans="2:8" ht="15.75" thickBot="1" x14ac:dyDescent="0.3">
      <c r="B778" s="438"/>
      <c r="C778" s="440"/>
      <c r="D778" s="812"/>
      <c r="E778" s="818"/>
      <c r="F778" s="32" t="s">
        <v>533</v>
      </c>
      <c r="G778" s="186">
        <v>17100000</v>
      </c>
      <c r="H778" s="32" t="s">
        <v>426</v>
      </c>
    </row>
    <row r="779" spans="2:8" ht="15.75" thickBot="1" x14ac:dyDescent="0.3">
      <c r="B779" s="438"/>
      <c r="C779" s="440"/>
      <c r="D779" s="410"/>
      <c r="E779" s="263" t="s">
        <v>479</v>
      </c>
      <c r="F779" s="14"/>
      <c r="G779" s="185">
        <f>SUM(G777:G778)</f>
        <v>18000000</v>
      </c>
      <c r="H779" s="14"/>
    </row>
    <row r="780" spans="2:8" ht="15.75" thickBot="1" x14ac:dyDescent="0.3">
      <c r="B780" s="438"/>
      <c r="C780" s="440"/>
      <c r="D780" s="410"/>
      <c r="E780" s="206" t="s">
        <v>993</v>
      </c>
      <c r="F780" s="32" t="s">
        <v>388</v>
      </c>
      <c r="G780" s="186">
        <v>1350000</v>
      </c>
      <c r="H780" s="32" t="s">
        <v>426</v>
      </c>
    </row>
    <row r="781" spans="2:8" ht="15.75" thickBot="1" x14ac:dyDescent="0.3">
      <c r="B781" s="438"/>
      <c r="C781" s="440"/>
      <c r="D781" s="410"/>
      <c r="E781" s="13"/>
      <c r="F781" s="32" t="s">
        <v>389</v>
      </c>
      <c r="G781" s="186">
        <v>2700000</v>
      </c>
      <c r="H781" s="32" t="s">
        <v>426</v>
      </c>
    </row>
    <row r="782" spans="2:8" ht="15.75" thickBot="1" x14ac:dyDescent="0.3">
      <c r="B782" s="438"/>
      <c r="C782" s="440"/>
      <c r="D782" s="410"/>
      <c r="E782" s="13"/>
      <c r="F782" s="814" t="s">
        <v>533</v>
      </c>
      <c r="G782" s="460">
        <v>17100000</v>
      </c>
      <c r="H782" s="814" t="s">
        <v>426</v>
      </c>
    </row>
    <row r="783" spans="2:8" ht="15.75" thickBot="1" x14ac:dyDescent="0.3">
      <c r="B783" s="438"/>
      <c r="C783" s="440"/>
      <c r="D783" s="811"/>
      <c r="E783" s="810"/>
      <c r="F783" s="381" t="s">
        <v>568</v>
      </c>
      <c r="G783" s="568">
        <v>1350000</v>
      </c>
      <c r="H783" s="202" t="s">
        <v>426</v>
      </c>
    </row>
    <row r="784" spans="2:8" ht="15.75" thickBot="1" x14ac:dyDescent="0.3">
      <c r="B784" s="438"/>
      <c r="C784" s="440"/>
      <c r="D784" s="812"/>
      <c r="E784" s="455" t="s">
        <v>1738</v>
      </c>
      <c r="F784" s="254"/>
      <c r="G784" s="576">
        <f>SUM(G780:G783)</f>
        <v>22500000</v>
      </c>
      <c r="H784" s="297"/>
    </row>
    <row r="785" spans="2:8" ht="15.75" thickBot="1" x14ac:dyDescent="0.3">
      <c r="B785" s="438"/>
      <c r="C785" s="440"/>
      <c r="D785" s="967" t="s">
        <v>994</v>
      </c>
      <c r="E785" s="968"/>
      <c r="F785" s="778"/>
      <c r="G785" s="779">
        <f>G771+G776+G779+G784</f>
        <v>440500000</v>
      </c>
      <c r="H785" s="778"/>
    </row>
    <row r="786" spans="2:8" ht="15.75" thickBot="1" x14ac:dyDescent="0.3">
      <c r="B786" s="443" t="s">
        <v>1197</v>
      </c>
      <c r="C786" s="443" t="s">
        <v>1383</v>
      </c>
      <c r="D786" s="406"/>
      <c r="E786" s="183" t="s">
        <v>22</v>
      </c>
      <c r="F786" s="231" t="s">
        <v>27</v>
      </c>
      <c r="G786" s="326" t="s">
        <v>362</v>
      </c>
      <c r="H786" s="265" t="s">
        <v>1175</v>
      </c>
    </row>
    <row r="787" spans="2:8" ht="45.75" thickBot="1" x14ac:dyDescent="0.3">
      <c r="B787" s="438" t="s">
        <v>36</v>
      </c>
      <c r="C787" s="440" t="s">
        <v>1718</v>
      </c>
      <c r="D787" s="575" t="s">
        <v>23</v>
      </c>
      <c r="E787" s="193" t="s">
        <v>995</v>
      </c>
      <c r="F787" s="536"/>
      <c r="G787" s="969"/>
      <c r="H787" s="891"/>
    </row>
    <row r="788" spans="2:8" ht="86.25" thickBot="1" x14ac:dyDescent="0.3">
      <c r="B788" s="438"/>
      <c r="C788" s="440"/>
      <c r="D788" s="199" t="s">
        <v>24</v>
      </c>
      <c r="E788" s="200" t="s">
        <v>996</v>
      </c>
      <c r="F788" s="249" t="s">
        <v>1739</v>
      </c>
      <c r="G788" s="557" t="s">
        <v>1740</v>
      </c>
      <c r="H788" s="294" t="s">
        <v>1741</v>
      </c>
    </row>
    <row r="789" spans="2:8" ht="100.5" thickBot="1" x14ac:dyDescent="0.3">
      <c r="B789" s="438"/>
      <c r="C789" s="440"/>
      <c r="D789" s="871"/>
      <c r="E789" s="381" t="s">
        <v>1742</v>
      </c>
      <c r="F789" s="235" t="s">
        <v>1743</v>
      </c>
      <c r="G789" s="496" t="s">
        <v>1744</v>
      </c>
      <c r="H789" s="266" t="s">
        <v>1745</v>
      </c>
    </row>
    <row r="790" spans="2:8" ht="29.25" x14ac:dyDescent="0.25">
      <c r="B790" s="438"/>
      <c r="C790" s="440"/>
      <c r="D790" s="172" t="s">
        <v>25</v>
      </c>
      <c r="E790" s="970" t="s">
        <v>1746</v>
      </c>
      <c r="F790" s="166" t="s">
        <v>997</v>
      </c>
      <c r="G790" s="560" t="s">
        <v>998</v>
      </c>
      <c r="H790" s="727" t="s">
        <v>1747</v>
      </c>
    </row>
    <row r="791" spans="2:8" ht="29.25" x14ac:dyDescent="0.25">
      <c r="B791" s="438"/>
      <c r="C791" s="440"/>
      <c r="D791" s="875"/>
      <c r="E791" s="760" t="s">
        <v>1748</v>
      </c>
      <c r="F791" s="2" t="s">
        <v>999</v>
      </c>
      <c r="G791" s="548" t="s">
        <v>1750</v>
      </c>
      <c r="H791" s="882" t="s">
        <v>1749</v>
      </c>
    </row>
    <row r="792" spans="2:8" ht="29.25" x14ac:dyDescent="0.25">
      <c r="B792" s="438"/>
      <c r="C792" s="440"/>
      <c r="D792" s="173"/>
      <c r="E792" s="760" t="s">
        <v>1751</v>
      </c>
      <c r="F792" s="2" t="s">
        <v>1000</v>
      </c>
      <c r="G792" s="548" t="s">
        <v>1001</v>
      </c>
      <c r="H792" s="167" t="s">
        <v>1002</v>
      </c>
    </row>
    <row r="793" spans="2:8" ht="29.25" x14ac:dyDescent="0.25">
      <c r="B793" s="438"/>
      <c r="C793" s="440"/>
      <c r="D793" s="173"/>
      <c r="E793" s="760" t="s">
        <v>1752</v>
      </c>
      <c r="F793" s="2" t="s">
        <v>1003</v>
      </c>
      <c r="G793" s="548" t="s">
        <v>1004</v>
      </c>
      <c r="H793" s="167" t="s">
        <v>1005</v>
      </c>
    </row>
    <row r="794" spans="2:8" ht="43.5" x14ac:dyDescent="0.25">
      <c r="B794" s="438"/>
      <c r="C794" s="440"/>
      <c r="D794" s="173"/>
      <c r="E794" s="760" t="s">
        <v>1753</v>
      </c>
      <c r="F794" s="880" t="s">
        <v>1755</v>
      </c>
      <c r="G794" s="548" t="s">
        <v>1006</v>
      </c>
      <c r="H794" s="882" t="s">
        <v>1007</v>
      </c>
    </row>
    <row r="795" spans="2:8" ht="44.25" thickBot="1" x14ac:dyDescent="0.3">
      <c r="B795" s="438"/>
      <c r="C795" s="440"/>
      <c r="D795" s="971"/>
      <c r="E795" s="306" t="s">
        <v>1754</v>
      </c>
      <c r="F795" s="550" t="s">
        <v>1008</v>
      </c>
      <c r="G795" s="551" t="s">
        <v>1009</v>
      </c>
      <c r="H795" s="562" t="s">
        <v>1010</v>
      </c>
    </row>
    <row r="796" spans="2:8" ht="15.75" thickBot="1" x14ac:dyDescent="0.3">
      <c r="B796" s="438"/>
      <c r="C796" s="440"/>
      <c r="D796" s="225" t="s">
        <v>26</v>
      </c>
      <c r="E796" s="585"/>
      <c r="F796" s="973" t="s">
        <v>380</v>
      </c>
      <c r="G796" s="974" t="s">
        <v>21</v>
      </c>
      <c r="H796" s="288" t="s">
        <v>934</v>
      </c>
    </row>
    <row r="797" spans="2:8" ht="30" thickBot="1" x14ac:dyDescent="0.3">
      <c r="B797" s="438"/>
      <c r="C797" s="440"/>
      <c r="E797" s="581" t="s">
        <v>1756</v>
      </c>
      <c r="F797" s="397" t="s">
        <v>1012</v>
      </c>
      <c r="G797" s="461">
        <v>20000</v>
      </c>
      <c r="H797" s="176" t="s">
        <v>1011</v>
      </c>
    </row>
    <row r="798" spans="2:8" ht="29.25" x14ac:dyDescent="0.25">
      <c r="B798" s="438"/>
      <c r="C798" s="440"/>
      <c r="E798" s="972" t="s">
        <v>1757</v>
      </c>
      <c r="F798" s="168" t="s">
        <v>388</v>
      </c>
      <c r="G798" s="548">
        <v>1000000</v>
      </c>
      <c r="H798" s="882" t="s">
        <v>1758</v>
      </c>
    </row>
    <row r="799" spans="2:8" x14ac:dyDescent="0.25">
      <c r="B799" s="438"/>
      <c r="C799" s="440"/>
      <c r="E799" s="245"/>
      <c r="F799" s="884" t="s">
        <v>389</v>
      </c>
      <c r="G799" s="511">
        <v>2000000</v>
      </c>
      <c r="H799" s="882" t="s">
        <v>376</v>
      </c>
    </row>
    <row r="800" spans="2:8" x14ac:dyDescent="0.25">
      <c r="B800" s="438"/>
      <c r="C800" s="440"/>
      <c r="E800" s="245"/>
      <c r="F800" s="884" t="s">
        <v>567</v>
      </c>
      <c r="G800" s="511">
        <v>16000000</v>
      </c>
      <c r="H800" s="882" t="s">
        <v>376</v>
      </c>
    </row>
    <row r="801" spans="2:8" ht="15.75" thickBot="1" x14ac:dyDescent="0.3">
      <c r="B801" s="438"/>
      <c r="C801" s="440"/>
      <c r="E801" s="245"/>
      <c r="F801" s="515" t="s">
        <v>568</v>
      </c>
      <c r="G801" s="473">
        <v>1000000</v>
      </c>
      <c r="H801" s="506" t="s">
        <v>376</v>
      </c>
    </row>
    <row r="802" spans="2:8" ht="15.75" thickBot="1" x14ac:dyDescent="0.3">
      <c r="B802" s="438"/>
      <c r="C802" s="440"/>
      <c r="E802" s="346" t="s">
        <v>392</v>
      </c>
      <c r="F802" s="723"/>
      <c r="G802" s="187">
        <f>SUM(G797:G801)</f>
        <v>20020000</v>
      </c>
      <c r="H802" s="723"/>
    </row>
    <row r="803" spans="2:8" ht="30" thickBot="1" x14ac:dyDescent="0.3">
      <c r="B803" s="438"/>
      <c r="C803" s="440"/>
      <c r="E803" s="972" t="s">
        <v>1759</v>
      </c>
      <c r="F803" s="175" t="s">
        <v>1012</v>
      </c>
      <c r="G803" s="560">
        <v>20000</v>
      </c>
      <c r="H803" s="176" t="s">
        <v>1011</v>
      </c>
    </row>
    <row r="804" spans="2:8" ht="28.5" x14ac:dyDescent="0.25">
      <c r="B804" s="438"/>
      <c r="C804" s="440"/>
      <c r="D804" s="937"/>
      <c r="E804" s="975" t="s">
        <v>1760</v>
      </c>
      <c r="F804" s="884" t="s">
        <v>388</v>
      </c>
      <c r="G804" s="511">
        <v>4000000</v>
      </c>
      <c r="H804" s="274"/>
    </row>
    <row r="805" spans="2:8" x14ac:dyDescent="0.25">
      <c r="B805" s="438"/>
      <c r="C805" s="440"/>
      <c r="D805" s="893"/>
      <c r="E805" s="518"/>
      <c r="F805" s="884" t="s">
        <v>389</v>
      </c>
      <c r="G805" s="511">
        <v>8000000</v>
      </c>
      <c r="H805" s="882" t="s">
        <v>1013</v>
      </c>
    </row>
    <row r="806" spans="2:8" ht="15.75" thickBot="1" x14ac:dyDescent="0.3">
      <c r="B806" s="438"/>
      <c r="C806" s="440"/>
      <c r="D806" s="893"/>
      <c r="E806" s="766"/>
      <c r="F806" s="515" t="s">
        <v>567</v>
      </c>
      <c r="G806" s="473">
        <v>64000000</v>
      </c>
      <c r="H806" s="506" t="s">
        <v>376</v>
      </c>
    </row>
    <row r="807" spans="2:8" ht="15.75" thickBot="1" x14ac:dyDescent="0.3">
      <c r="B807" s="438"/>
      <c r="C807" s="440"/>
      <c r="D807" s="893"/>
      <c r="E807" s="14"/>
      <c r="F807" s="32" t="s">
        <v>568</v>
      </c>
      <c r="G807" s="186">
        <v>4000000</v>
      </c>
      <c r="H807" s="32" t="s">
        <v>376</v>
      </c>
    </row>
    <row r="808" spans="2:8" ht="15.75" thickBot="1" x14ac:dyDescent="0.3">
      <c r="B808" s="438"/>
      <c r="C808" s="440"/>
      <c r="D808" s="893"/>
      <c r="E808" s="816" t="s">
        <v>1733</v>
      </c>
      <c r="F808" s="723"/>
      <c r="G808" s="187">
        <f>SUM(G803:G807)</f>
        <v>80020000</v>
      </c>
      <c r="H808" s="723"/>
    </row>
    <row r="809" spans="2:8" ht="30" thickBot="1" x14ac:dyDescent="0.3">
      <c r="B809" s="438"/>
      <c r="C809" s="440"/>
      <c r="D809" s="894"/>
      <c r="E809" s="581" t="s">
        <v>1761</v>
      </c>
      <c r="F809" s="175" t="s">
        <v>1012</v>
      </c>
      <c r="G809" s="560">
        <v>20000</v>
      </c>
      <c r="H809" s="176" t="s">
        <v>1011</v>
      </c>
    </row>
    <row r="810" spans="2:8" ht="29.25" x14ac:dyDescent="0.25">
      <c r="B810" s="438"/>
      <c r="C810" s="440"/>
      <c r="D810" s="893"/>
      <c r="E810" s="305" t="s">
        <v>1762</v>
      </c>
      <c r="F810" s="168" t="s">
        <v>388</v>
      </c>
      <c r="G810" s="548">
        <v>5000000</v>
      </c>
      <c r="H810" s="882" t="s">
        <v>1716</v>
      </c>
    </row>
    <row r="811" spans="2:8" x14ac:dyDescent="0.25">
      <c r="B811" s="438"/>
      <c r="C811" s="440"/>
      <c r="D811" s="893"/>
      <c r="E811" s="766"/>
      <c r="F811" s="884" t="s">
        <v>389</v>
      </c>
      <c r="G811" s="511">
        <v>10000000</v>
      </c>
      <c r="H811" s="882" t="s">
        <v>376</v>
      </c>
    </row>
    <row r="812" spans="2:8" x14ac:dyDescent="0.25">
      <c r="B812" s="438"/>
      <c r="C812" s="440"/>
      <c r="D812" s="893"/>
      <c r="E812" s="766"/>
      <c r="F812" s="884" t="s">
        <v>567</v>
      </c>
      <c r="G812" s="511">
        <v>80000000</v>
      </c>
      <c r="H812" s="882" t="s">
        <v>376</v>
      </c>
    </row>
    <row r="813" spans="2:8" ht="15.75" thickBot="1" x14ac:dyDescent="0.3">
      <c r="B813" s="438"/>
      <c r="C813" s="440"/>
      <c r="D813" s="893"/>
      <c r="E813" s="766"/>
      <c r="F813" s="885" t="s">
        <v>568</v>
      </c>
      <c r="G813" s="463">
        <v>5000000</v>
      </c>
      <c r="H813" s="887" t="s">
        <v>376</v>
      </c>
    </row>
    <row r="814" spans="2:8" ht="15.75" thickBot="1" x14ac:dyDescent="0.3">
      <c r="B814" s="438"/>
      <c r="C814" s="440"/>
      <c r="D814" s="894"/>
      <c r="E814" s="581" t="s">
        <v>1763</v>
      </c>
      <c r="F814" s="704"/>
      <c r="G814" s="705">
        <f>SUM(G809:G813)</f>
        <v>100020000</v>
      </c>
      <c r="H814" s="281"/>
    </row>
    <row r="815" spans="2:8" ht="53.25" customHeight="1" thickBot="1" x14ac:dyDescent="0.3">
      <c r="B815" s="438"/>
      <c r="C815" s="440"/>
      <c r="D815" s="893"/>
      <c r="E815" s="206" t="s">
        <v>1764</v>
      </c>
      <c r="F815" s="6" t="s">
        <v>1014</v>
      </c>
      <c r="G815" s="457">
        <v>2000000</v>
      </c>
      <c r="H815" s="6" t="s">
        <v>426</v>
      </c>
    </row>
    <row r="816" spans="2:8" ht="15.75" thickBot="1" x14ac:dyDescent="0.3">
      <c r="B816" s="438"/>
      <c r="C816" s="440"/>
      <c r="D816" s="894"/>
      <c r="E816" s="581" t="s">
        <v>1765</v>
      </c>
      <c r="F816" s="200"/>
      <c r="G816" s="555">
        <f>SUM(G815)</f>
        <v>2000000</v>
      </c>
      <c r="H816" s="201"/>
    </row>
    <row r="817" spans="2:8" ht="44.25" thickBot="1" x14ac:dyDescent="0.3">
      <c r="B817" s="438"/>
      <c r="C817" s="440"/>
      <c r="D817" s="894"/>
      <c r="E817" s="455" t="s">
        <v>1768</v>
      </c>
      <c r="F817" s="249" t="s">
        <v>1767</v>
      </c>
      <c r="G817" s="323">
        <v>5000000</v>
      </c>
      <c r="H817" s="201" t="s">
        <v>426</v>
      </c>
    </row>
    <row r="818" spans="2:8" ht="15.75" thickBot="1" x14ac:dyDescent="0.3">
      <c r="B818" s="438"/>
      <c r="C818" s="440"/>
      <c r="D818" s="893"/>
      <c r="E818" s="978" t="s">
        <v>405</v>
      </c>
      <c r="F818" s="874"/>
      <c r="G818" s="883">
        <f>SUM(G817)</f>
        <v>5000000</v>
      </c>
      <c r="H818" s="6"/>
    </row>
    <row r="819" spans="2:8" ht="62.25" customHeight="1" thickBot="1" x14ac:dyDescent="0.3">
      <c r="B819" s="438"/>
      <c r="C819" s="440"/>
      <c r="D819" s="894"/>
      <c r="E819" s="455" t="s">
        <v>1771</v>
      </c>
      <c r="F819" s="249" t="s">
        <v>1766</v>
      </c>
      <c r="G819" s="323">
        <v>40000000</v>
      </c>
      <c r="H819" s="294" t="s">
        <v>1773</v>
      </c>
    </row>
    <row r="820" spans="2:8" ht="15.75" thickBot="1" x14ac:dyDescent="0.3">
      <c r="B820" s="438"/>
      <c r="C820" s="440"/>
      <c r="D820" s="895"/>
      <c r="E820" s="976" t="s">
        <v>1769</v>
      </c>
      <c r="F820" s="14"/>
      <c r="G820" s="977">
        <f>SUM(G819:G819)</f>
        <v>40000000</v>
      </c>
      <c r="H820" s="872"/>
    </row>
    <row r="821" spans="2:8" ht="15.75" thickBot="1" x14ac:dyDescent="0.3">
      <c r="B821" s="438"/>
      <c r="C821" s="440"/>
      <c r="D821" s="784" t="s">
        <v>1015</v>
      </c>
      <c r="E821" s="784"/>
      <c r="F821" s="839"/>
      <c r="G821" s="779">
        <f>+G802+G808+G814+G816+G818+G820</f>
        <v>247060000</v>
      </c>
      <c r="H821" s="778"/>
    </row>
    <row r="822" spans="2:8" ht="15.75" thickBot="1" x14ac:dyDescent="0.3">
      <c r="B822" s="443" t="s">
        <v>1197</v>
      </c>
      <c r="C822" s="443" t="s">
        <v>1383</v>
      </c>
      <c r="D822" s="406"/>
      <c r="E822" s="183" t="s">
        <v>22</v>
      </c>
      <c r="F822" s="231" t="s">
        <v>27</v>
      </c>
      <c r="G822" s="494" t="s">
        <v>362</v>
      </c>
      <c r="H822" s="265" t="s">
        <v>1175</v>
      </c>
    </row>
    <row r="823" spans="2:8" ht="30.75" thickBot="1" x14ac:dyDescent="0.3">
      <c r="B823" s="438" t="s">
        <v>1719</v>
      </c>
      <c r="C823" s="440" t="s">
        <v>1720</v>
      </c>
      <c r="D823" s="575" t="s">
        <v>23</v>
      </c>
      <c r="E823" s="249" t="s">
        <v>1016</v>
      </c>
      <c r="F823" s="254"/>
      <c r="G823" s="495"/>
      <c r="H823" s="297"/>
    </row>
    <row r="824" spans="2:8" ht="58.5" thickBot="1" x14ac:dyDescent="0.3">
      <c r="B824" s="438"/>
      <c r="C824" s="534"/>
      <c r="D824" s="877" t="s">
        <v>24</v>
      </c>
      <c r="E824" s="582" t="s">
        <v>1017</v>
      </c>
      <c r="F824" s="200" t="s">
        <v>1018</v>
      </c>
      <c r="G824" s="583" t="s">
        <v>1019</v>
      </c>
      <c r="H824" s="294" t="s">
        <v>1770</v>
      </c>
    </row>
    <row r="825" spans="2:8" ht="29.25" thickBot="1" x14ac:dyDescent="0.3">
      <c r="B825" s="438"/>
      <c r="C825" s="534"/>
      <c r="D825" s="878"/>
      <c r="E825" s="174" t="s">
        <v>1020</v>
      </c>
      <c r="F825" s="35" t="s">
        <v>1772</v>
      </c>
      <c r="G825" s="157" t="s">
        <v>1774</v>
      </c>
      <c r="H825" s="35" t="s">
        <v>1775</v>
      </c>
    </row>
    <row r="826" spans="2:8" ht="43.5" thickBot="1" x14ac:dyDescent="0.3">
      <c r="B826" s="438"/>
      <c r="C826" s="440"/>
      <c r="D826" s="873" t="s">
        <v>25</v>
      </c>
      <c r="E826" s="532" t="s">
        <v>1022</v>
      </c>
      <c r="F826" s="200" t="s">
        <v>1023</v>
      </c>
      <c r="G826" s="323" t="s">
        <v>1024</v>
      </c>
      <c r="H826" s="294" t="s">
        <v>1776</v>
      </c>
    </row>
    <row r="827" spans="2:8" ht="15.75" thickBot="1" x14ac:dyDescent="0.3">
      <c r="B827" s="438"/>
      <c r="C827" s="440"/>
      <c r="D827" s="864"/>
      <c r="E827" s="874" t="s">
        <v>1777</v>
      </c>
      <c r="F827" s="163" t="s">
        <v>1025</v>
      </c>
      <c r="G827" s="157" t="s">
        <v>1778</v>
      </c>
      <c r="H827" s="35" t="s">
        <v>477</v>
      </c>
    </row>
    <row r="828" spans="2:8" ht="15.75" thickBot="1" x14ac:dyDescent="0.3">
      <c r="B828" s="438"/>
      <c r="C828" s="440"/>
      <c r="D828" s="225" t="s">
        <v>26</v>
      </c>
      <c r="E828" s="585"/>
      <c r="F828" s="162" t="s">
        <v>380</v>
      </c>
      <c r="G828" s="979" t="s">
        <v>21</v>
      </c>
      <c r="H828" s="265" t="s">
        <v>934</v>
      </c>
    </row>
    <row r="829" spans="2:8" ht="29.25" thickBot="1" x14ac:dyDescent="0.3">
      <c r="B829" s="438"/>
      <c r="C829" s="440"/>
      <c r="D829" s="433"/>
      <c r="E829" s="32" t="s">
        <v>1779</v>
      </c>
      <c r="F829" s="32" t="s">
        <v>1780</v>
      </c>
      <c r="G829" s="186">
        <v>20000</v>
      </c>
      <c r="H829" s="32" t="s">
        <v>1716</v>
      </c>
    </row>
    <row r="830" spans="2:8" ht="42.75" x14ac:dyDescent="0.25">
      <c r="B830" s="438"/>
      <c r="C830" s="440"/>
      <c r="D830" s="864"/>
      <c r="E830" s="874" t="s">
        <v>1781</v>
      </c>
      <c r="F830" s="163" t="s">
        <v>388</v>
      </c>
      <c r="G830" s="215">
        <v>2500000</v>
      </c>
      <c r="H830" s="35" t="s">
        <v>477</v>
      </c>
    </row>
    <row r="831" spans="2:8" ht="15.75" thickBot="1" x14ac:dyDescent="0.3">
      <c r="B831" s="438"/>
      <c r="C831" s="440"/>
      <c r="D831" s="410"/>
      <c r="E831" s="13"/>
      <c r="F831" s="32" t="s">
        <v>389</v>
      </c>
      <c r="G831" s="186">
        <v>5000000</v>
      </c>
      <c r="H831" s="32" t="s">
        <v>376</v>
      </c>
    </row>
    <row r="832" spans="2:8" ht="15.75" thickBot="1" x14ac:dyDescent="0.3">
      <c r="B832" s="438"/>
      <c r="C832" s="440"/>
      <c r="D832" s="410"/>
      <c r="E832" s="13"/>
      <c r="F832" s="32" t="s">
        <v>533</v>
      </c>
      <c r="G832" s="186">
        <v>40000000</v>
      </c>
      <c r="H832" s="32" t="s">
        <v>376</v>
      </c>
    </row>
    <row r="833" spans="2:8" ht="15.75" thickBot="1" x14ac:dyDescent="0.3">
      <c r="B833" s="438"/>
      <c r="C833" s="440"/>
      <c r="D833" s="410"/>
      <c r="E833" s="723"/>
      <c r="F833" s="874" t="s">
        <v>568</v>
      </c>
      <c r="G833" s="460">
        <v>2500000</v>
      </c>
      <c r="H833" s="874" t="s">
        <v>376</v>
      </c>
    </row>
    <row r="834" spans="2:8" ht="15.75" thickBot="1" x14ac:dyDescent="0.3">
      <c r="B834" s="438"/>
      <c r="C834" s="440"/>
      <c r="D834" s="871"/>
      <c r="E834" s="455" t="s">
        <v>392</v>
      </c>
      <c r="F834" s="254"/>
      <c r="G834" s="576">
        <f>SUM(G829:G833)</f>
        <v>50020000</v>
      </c>
      <c r="H834" s="297"/>
    </row>
    <row r="835" spans="2:8" x14ac:dyDescent="0.25">
      <c r="B835" s="438"/>
      <c r="C835" s="440"/>
      <c r="D835" s="893"/>
      <c r="E835" s="926" t="s">
        <v>1026</v>
      </c>
      <c r="F835" s="912" t="s">
        <v>1027</v>
      </c>
      <c r="G835" s="949">
        <v>20000</v>
      </c>
      <c r="H835" s="35" t="s">
        <v>982</v>
      </c>
    </row>
    <row r="836" spans="2:8" ht="15.75" thickBot="1" x14ac:dyDescent="0.3">
      <c r="B836" s="438"/>
      <c r="C836" s="440"/>
      <c r="D836" s="893"/>
      <c r="E836" s="948"/>
      <c r="F836" s="913"/>
      <c r="G836" s="930"/>
      <c r="H836" s="32" t="s">
        <v>367</v>
      </c>
    </row>
    <row r="837" spans="2:8" ht="29.25" x14ac:dyDescent="0.25">
      <c r="B837" s="438"/>
      <c r="C837" s="440"/>
      <c r="D837" s="869"/>
      <c r="E837" s="206" t="s">
        <v>1782</v>
      </c>
      <c r="F837" s="163" t="s">
        <v>388</v>
      </c>
      <c r="G837" s="215">
        <v>2500000</v>
      </c>
      <c r="H837" s="163" t="s">
        <v>367</v>
      </c>
    </row>
    <row r="838" spans="2:8" ht="15.75" thickBot="1" x14ac:dyDescent="0.3">
      <c r="B838" s="438"/>
      <c r="C838" s="440"/>
      <c r="D838" s="410"/>
      <c r="E838" s="13"/>
      <c r="F838" s="32" t="s">
        <v>389</v>
      </c>
      <c r="G838" s="186">
        <v>5000000</v>
      </c>
      <c r="H838" s="32" t="s">
        <v>376</v>
      </c>
    </row>
    <row r="839" spans="2:8" x14ac:dyDescent="0.25">
      <c r="B839" s="438"/>
      <c r="C839" s="440"/>
      <c r="D839" s="869"/>
      <c r="E839" s="863"/>
      <c r="F839" s="874" t="s">
        <v>533</v>
      </c>
      <c r="G839" s="215">
        <v>40000000</v>
      </c>
      <c r="H839" s="163" t="s">
        <v>376</v>
      </c>
    </row>
    <row r="840" spans="2:8" ht="15.75" thickBot="1" x14ac:dyDescent="0.3">
      <c r="B840" s="438"/>
      <c r="C840" s="440"/>
      <c r="D840" s="410"/>
      <c r="E840" s="14"/>
      <c r="F840" s="32" t="s">
        <v>568</v>
      </c>
      <c r="G840" s="186">
        <v>2500000</v>
      </c>
      <c r="H840" s="32" t="s">
        <v>376</v>
      </c>
    </row>
    <row r="841" spans="2:8" ht="15.75" thickBot="1" x14ac:dyDescent="0.3">
      <c r="B841" s="438"/>
      <c r="C841" s="440"/>
      <c r="D841" s="433"/>
      <c r="E841" s="263" t="s">
        <v>1688</v>
      </c>
      <c r="F841" s="14"/>
      <c r="G841" s="185">
        <f>SUM(G835:G840)</f>
        <v>50020000</v>
      </c>
      <c r="H841" s="14"/>
    </row>
    <row r="842" spans="2:8" ht="15.75" thickBot="1" x14ac:dyDescent="0.3">
      <c r="B842" s="438"/>
      <c r="C842" s="440"/>
      <c r="D842" s="777" t="s">
        <v>1028</v>
      </c>
      <c r="E842" s="980"/>
      <c r="F842" s="778"/>
      <c r="G842" s="779">
        <f>G834+G841</f>
        <v>100040000</v>
      </c>
      <c r="H842" s="778"/>
    </row>
    <row r="843" spans="2:8" ht="15.75" thickBot="1" x14ac:dyDescent="0.3">
      <c r="B843" s="443" t="s">
        <v>1197</v>
      </c>
      <c r="C843" s="443" t="s">
        <v>1383</v>
      </c>
      <c r="D843" s="406"/>
      <c r="E843" s="183" t="s">
        <v>22</v>
      </c>
      <c r="F843" s="231" t="s">
        <v>27</v>
      </c>
      <c r="G843" s="326" t="s">
        <v>362</v>
      </c>
      <c r="H843" s="265" t="s">
        <v>1175</v>
      </c>
    </row>
    <row r="844" spans="2:8" ht="15.75" thickBot="1" x14ac:dyDescent="0.3">
      <c r="B844" s="438"/>
      <c r="C844" s="440"/>
      <c r="D844" s="367" t="s">
        <v>23</v>
      </c>
      <c r="E844" s="14"/>
      <c r="F844" s="14"/>
      <c r="G844" s="526"/>
      <c r="H844" s="14"/>
    </row>
    <row r="845" spans="2:8" ht="75.75" thickBot="1" x14ac:dyDescent="0.3">
      <c r="B845" s="438" t="s">
        <v>1721</v>
      </c>
      <c r="C845" s="440" t="s">
        <v>1722</v>
      </c>
      <c r="D845" s="433"/>
      <c r="E845" s="874" t="s">
        <v>1029</v>
      </c>
      <c r="F845" s="723"/>
      <c r="G845" s="559"/>
      <c r="H845" s="723"/>
    </row>
    <row r="846" spans="2:8" ht="43.5" thickBot="1" x14ac:dyDescent="0.3">
      <c r="B846" s="438"/>
      <c r="C846" s="440"/>
      <c r="D846" s="408" t="s">
        <v>24</v>
      </c>
      <c r="E846" s="293" t="s">
        <v>1783</v>
      </c>
      <c r="F846" s="249" t="s">
        <v>1784</v>
      </c>
      <c r="G846" s="557" t="s">
        <v>1785</v>
      </c>
      <c r="H846" s="294" t="s">
        <v>801</v>
      </c>
    </row>
    <row r="847" spans="2:8" ht="43.5" thickBot="1" x14ac:dyDescent="0.3">
      <c r="B847" s="438"/>
      <c r="C847" s="440"/>
      <c r="D847" s="428"/>
      <c r="E847" s="35" t="s">
        <v>1786</v>
      </c>
      <c r="F847" s="35" t="s">
        <v>1787</v>
      </c>
      <c r="G847" s="157" t="s">
        <v>1788</v>
      </c>
      <c r="H847" s="35" t="s">
        <v>801</v>
      </c>
    </row>
    <row r="848" spans="2:8" ht="29.25" thickBot="1" x14ac:dyDescent="0.3">
      <c r="B848" s="438"/>
      <c r="C848" s="440"/>
      <c r="D848" s="415"/>
      <c r="E848" s="532" t="s">
        <v>1031</v>
      </c>
      <c r="F848" s="200" t="s">
        <v>1032</v>
      </c>
      <c r="G848" s="323" t="s">
        <v>1030</v>
      </c>
      <c r="H848" s="294" t="s">
        <v>1789</v>
      </c>
    </row>
    <row r="849" spans="2:8" ht="44.25" thickBot="1" x14ac:dyDescent="0.3">
      <c r="B849" s="438"/>
      <c r="C849" s="440"/>
      <c r="D849" s="400" t="s">
        <v>25</v>
      </c>
      <c r="E849" s="455" t="s">
        <v>1790</v>
      </c>
      <c r="F849" s="249" t="s">
        <v>1791</v>
      </c>
      <c r="G849" s="323" t="s">
        <v>1033</v>
      </c>
      <c r="H849" s="294" t="s">
        <v>1792</v>
      </c>
    </row>
    <row r="850" spans="2:8" ht="30" thickBot="1" x14ac:dyDescent="0.3">
      <c r="B850" s="438"/>
      <c r="C850" s="440"/>
      <c r="D850" s="401"/>
      <c r="E850" s="455" t="s">
        <v>1793</v>
      </c>
      <c r="F850" s="249" t="s">
        <v>1794</v>
      </c>
      <c r="G850" s="323" t="s">
        <v>373</v>
      </c>
      <c r="H850" s="294" t="s">
        <v>1463</v>
      </c>
    </row>
    <row r="851" spans="2:8" ht="29.25" thickBot="1" x14ac:dyDescent="0.3">
      <c r="B851" s="438"/>
      <c r="C851" s="440"/>
      <c r="D851" s="402"/>
      <c r="E851" s="206" t="s">
        <v>1795</v>
      </c>
      <c r="F851" s="163" t="s">
        <v>1034</v>
      </c>
      <c r="G851" s="215" t="s">
        <v>1033</v>
      </c>
      <c r="H851" s="163" t="s">
        <v>429</v>
      </c>
    </row>
    <row r="852" spans="2:8" ht="15.75" thickBot="1" x14ac:dyDescent="0.3">
      <c r="B852" s="438"/>
      <c r="C852" s="440"/>
      <c r="D852" s="188" t="s">
        <v>26</v>
      </c>
      <c r="E852" s="585"/>
      <c r="F852" s="162" t="s">
        <v>380</v>
      </c>
      <c r="G852" s="555" t="s">
        <v>21</v>
      </c>
      <c r="H852" s="265" t="s">
        <v>934</v>
      </c>
    </row>
    <row r="853" spans="2:8" ht="58.5" thickBot="1" x14ac:dyDescent="0.3">
      <c r="B853" s="438"/>
      <c r="C853" s="440"/>
      <c r="D853" s="402"/>
      <c r="E853" s="206" t="s">
        <v>1796</v>
      </c>
      <c r="F853" s="163" t="s">
        <v>1035</v>
      </c>
      <c r="G853" s="215">
        <v>7500000</v>
      </c>
      <c r="H853" s="35" t="s">
        <v>1797</v>
      </c>
    </row>
    <row r="854" spans="2:8" ht="15.75" thickBot="1" x14ac:dyDescent="0.3">
      <c r="B854" s="438"/>
      <c r="C854" s="440"/>
      <c r="D854" s="401"/>
      <c r="E854" s="455" t="s">
        <v>1687</v>
      </c>
      <c r="F854" s="582"/>
      <c r="G854" s="981">
        <f>SUM(G853)</f>
        <v>7500000</v>
      </c>
      <c r="H854" s="294"/>
    </row>
    <row r="855" spans="2:8" ht="30" thickBot="1" x14ac:dyDescent="0.3">
      <c r="B855" s="438"/>
      <c r="C855" s="440"/>
      <c r="D855" s="402"/>
      <c r="E855" s="206" t="s">
        <v>1798</v>
      </c>
      <c r="F855" s="32" t="s">
        <v>388</v>
      </c>
      <c r="G855" s="186">
        <v>2500000</v>
      </c>
      <c r="H855" s="32" t="s">
        <v>376</v>
      </c>
    </row>
    <row r="856" spans="2:8" ht="15.75" thickBot="1" x14ac:dyDescent="0.3">
      <c r="B856" s="438"/>
      <c r="C856" s="440"/>
      <c r="D856" s="402"/>
      <c r="E856" s="35"/>
      <c r="F856" s="32" t="s">
        <v>1037</v>
      </c>
      <c r="G856" s="186">
        <v>5000000</v>
      </c>
      <c r="H856" s="32" t="s">
        <v>376</v>
      </c>
    </row>
    <row r="857" spans="2:8" ht="28.5" x14ac:dyDescent="0.25">
      <c r="B857" s="438"/>
      <c r="C857" s="440"/>
      <c r="D857" s="402"/>
      <c r="E857" s="13"/>
      <c r="F857" s="35" t="s">
        <v>390</v>
      </c>
      <c r="G857" s="215">
        <v>30000000</v>
      </c>
      <c r="H857" s="163" t="s">
        <v>376</v>
      </c>
    </row>
    <row r="858" spans="2:8" ht="15.75" thickBot="1" x14ac:dyDescent="0.3">
      <c r="B858" s="438"/>
      <c r="C858" s="440"/>
      <c r="D858" s="402"/>
      <c r="E858" s="14"/>
      <c r="F858" s="32" t="s">
        <v>1038</v>
      </c>
      <c r="G858" s="186">
        <v>5000000</v>
      </c>
      <c r="H858" s="32" t="s">
        <v>376</v>
      </c>
    </row>
    <row r="859" spans="2:8" ht="15.75" thickBot="1" x14ac:dyDescent="0.3">
      <c r="B859" s="438"/>
      <c r="C859" s="440"/>
      <c r="D859" s="402"/>
      <c r="E859" s="263" t="s">
        <v>1688</v>
      </c>
      <c r="F859" s="14"/>
      <c r="G859" s="185">
        <f>SUM(G855:G858)</f>
        <v>42500000</v>
      </c>
      <c r="H859" s="14"/>
    </row>
    <row r="860" spans="2:8" ht="29.25" thickBot="1" x14ac:dyDescent="0.3">
      <c r="B860" s="438"/>
      <c r="C860" s="440"/>
      <c r="D860" s="402"/>
      <c r="E860" s="206" t="s">
        <v>1799</v>
      </c>
      <c r="F860" s="35" t="s">
        <v>1049</v>
      </c>
      <c r="G860" s="215">
        <v>5000000</v>
      </c>
      <c r="H860" s="35" t="s">
        <v>1800</v>
      </c>
    </row>
    <row r="861" spans="2:8" ht="15.75" thickBot="1" x14ac:dyDescent="0.3">
      <c r="B861" s="438"/>
      <c r="C861" s="440"/>
      <c r="D861" s="401"/>
      <c r="E861" s="558" t="s">
        <v>1801</v>
      </c>
      <c r="F861" s="235"/>
      <c r="G861" s="974">
        <f>SUM(G860)</f>
        <v>5000000</v>
      </c>
      <c r="H861" s="266"/>
    </row>
    <row r="862" spans="2:8" ht="15.75" thickBot="1" x14ac:dyDescent="0.3">
      <c r="B862" s="438"/>
      <c r="C862" s="440"/>
      <c r="D862" s="229" t="s">
        <v>1039</v>
      </c>
      <c r="E862" s="982"/>
      <c r="F862" s="161"/>
      <c r="G862" s="576">
        <f>G854+G859+G861</f>
        <v>55000000</v>
      </c>
      <c r="H862" s="297"/>
    </row>
    <row r="863" spans="2:8" ht="15.75" thickBot="1" x14ac:dyDescent="0.3">
      <c r="B863" s="443" t="s">
        <v>1197</v>
      </c>
      <c r="C863" s="443" t="s">
        <v>1383</v>
      </c>
      <c r="D863" s="406"/>
      <c r="E863" s="183" t="s">
        <v>22</v>
      </c>
      <c r="F863" s="231" t="s">
        <v>27</v>
      </c>
      <c r="G863" s="326" t="s">
        <v>362</v>
      </c>
      <c r="H863" s="265" t="s">
        <v>1175</v>
      </c>
    </row>
    <row r="864" spans="2:8" ht="60.75" thickBot="1" x14ac:dyDescent="0.3">
      <c r="B864" s="438" t="s">
        <v>1723</v>
      </c>
      <c r="C864" s="440" t="s">
        <v>1724</v>
      </c>
      <c r="D864" s="870" t="s">
        <v>23</v>
      </c>
      <c r="E864" s="35" t="s">
        <v>1802</v>
      </c>
      <c r="F864" s="723"/>
      <c r="G864" s="559"/>
      <c r="H864" s="723"/>
    </row>
    <row r="865" spans="2:8" ht="42.75" x14ac:dyDescent="0.25">
      <c r="B865" s="438"/>
      <c r="C865" s="534"/>
      <c r="D865" s="529" t="s">
        <v>24</v>
      </c>
      <c r="E865" s="175" t="s">
        <v>1040</v>
      </c>
      <c r="F865" s="166" t="s">
        <v>1041</v>
      </c>
      <c r="G865" s="997" t="s">
        <v>1042</v>
      </c>
      <c r="H865" s="176" t="s">
        <v>801</v>
      </c>
    </row>
    <row r="866" spans="2:8" ht="28.5" x14ac:dyDescent="0.25">
      <c r="B866" s="438"/>
      <c r="C866" s="534"/>
      <c r="D866" s="993"/>
      <c r="E866" s="168" t="s">
        <v>1043</v>
      </c>
      <c r="F866" s="2" t="s">
        <v>1044</v>
      </c>
      <c r="G866" s="539" t="s">
        <v>1803</v>
      </c>
      <c r="H866" s="882" t="s">
        <v>1804</v>
      </c>
    </row>
    <row r="867" spans="2:8" ht="29.25" thickBot="1" x14ac:dyDescent="0.3">
      <c r="B867" s="438"/>
      <c r="C867" s="534"/>
      <c r="D867" s="994"/>
      <c r="E867" s="216" t="s">
        <v>1045</v>
      </c>
      <c r="F867" s="550" t="s">
        <v>1046</v>
      </c>
      <c r="G867" s="551" t="s">
        <v>1030</v>
      </c>
      <c r="H867" s="506" t="s">
        <v>1805</v>
      </c>
    </row>
    <row r="868" spans="2:8" ht="28.5" x14ac:dyDescent="0.25">
      <c r="B868" s="438"/>
      <c r="C868" s="534"/>
      <c r="D868" s="989" t="s">
        <v>25</v>
      </c>
      <c r="E868" s="664" t="s">
        <v>1047</v>
      </c>
      <c r="F868" s="995" t="s">
        <v>1806</v>
      </c>
      <c r="G868" s="996" t="s">
        <v>1807</v>
      </c>
      <c r="H868" s="669" t="s">
        <v>1808</v>
      </c>
    </row>
    <row r="869" spans="2:8" ht="29.25" x14ac:dyDescent="0.25">
      <c r="B869" s="438"/>
      <c r="C869" s="534"/>
      <c r="D869" s="852"/>
      <c r="E869" s="760" t="s">
        <v>1810</v>
      </c>
      <c r="F869" s="880" t="s">
        <v>1809</v>
      </c>
      <c r="G869" s="991" t="s">
        <v>373</v>
      </c>
      <c r="H869" s="167" t="s">
        <v>1048</v>
      </c>
    </row>
    <row r="870" spans="2:8" ht="44.25" thickBot="1" x14ac:dyDescent="0.3">
      <c r="B870" s="438"/>
      <c r="C870" s="534"/>
      <c r="D870" s="990"/>
      <c r="E870" s="992" t="s">
        <v>1812</v>
      </c>
      <c r="F870" s="240" t="s">
        <v>1811</v>
      </c>
      <c r="G870" s="550" t="s">
        <v>1033</v>
      </c>
      <c r="H870" s="506" t="s">
        <v>1813</v>
      </c>
    </row>
    <row r="871" spans="2:8" ht="15.75" thickBot="1" x14ac:dyDescent="0.3">
      <c r="B871" s="438"/>
      <c r="C871" s="440"/>
      <c r="D871" s="188" t="s">
        <v>26</v>
      </c>
      <c r="E871" s="585"/>
      <c r="F871" s="162" t="s">
        <v>380</v>
      </c>
      <c r="G871" s="979" t="s">
        <v>21</v>
      </c>
      <c r="H871" s="265" t="s">
        <v>934</v>
      </c>
    </row>
    <row r="872" spans="2:8" ht="30" thickBot="1" x14ac:dyDescent="0.3">
      <c r="B872" s="438"/>
      <c r="C872" s="440"/>
      <c r="E872" s="558" t="s">
        <v>1814</v>
      </c>
      <c r="F872" s="998" t="s">
        <v>1035</v>
      </c>
      <c r="G872" s="1002">
        <v>5000000</v>
      </c>
      <c r="H872" s="266" t="s">
        <v>1815</v>
      </c>
    </row>
    <row r="873" spans="2:8" ht="15.75" thickBot="1" x14ac:dyDescent="0.3">
      <c r="B873" s="438"/>
      <c r="C873" s="440"/>
      <c r="E873" s="199" t="s">
        <v>1687</v>
      </c>
      <c r="F873" s="998"/>
      <c r="G873" s="1010">
        <f>SUM(G872)</f>
        <v>5000000</v>
      </c>
      <c r="H873" s="266"/>
    </row>
    <row r="874" spans="2:8" ht="29.25" x14ac:dyDescent="0.25">
      <c r="B874" s="438"/>
      <c r="C874" s="440"/>
      <c r="E874" s="972" t="s">
        <v>1816</v>
      </c>
      <c r="F874" s="999" t="s">
        <v>388</v>
      </c>
      <c r="G874" s="1003">
        <v>750000</v>
      </c>
      <c r="H874" s="1000" t="s">
        <v>1021</v>
      </c>
    </row>
    <row r="875" spans="2:8" x14ac:dyDescent="0.25">
      <c r="B875" s="438"/>
      <c r="C875" s="440"/>
      <c r="D875" s="869"/>
      <c r="F875" s="733" t="s">
        <v>1037</v>
      </c>
      <c r="G875" s="1004">
        <v>1500000</v>
      </c>
      <c r="H875" s="1001" t="s">
        <v>376</v>
      </c>
    </row>
    <row r="876" spans="2:8" ht="28.5" x14ac:dyDescent="0.25">
      <c r="B876" s="438"/>
      <c r="C876" s="440"/>
      <c r="D876" s="410"/>
      <c r="F876" s="733" t="s">
        <v>390</v>
      </c>
      <c r="G876" s="741">
        <v>12000000</v>
      </c>
      <c r="H876" s="737" t="s">
        <v>376</v>
      </c>
    </row>
    <row r="877" spans="2:8" ht="15.75" thickBot="1" x14ac:dyDescent="0.3">
      <c r="B877" s="438"/>
      <c r="C877" s="440"/>
      <c r="D877" s="410"/>
      <c r="F877" s="734" t="s">
        <v>1038</v>
      </c>
      <c r="G877" s="742">
        <v>750000</v>
      </c>
      <c r="H877" s="738" t="s">
        <v>494</v>
      </c>
    </row>
    <row r="878" spans="2:8" ht="15.75" thickBot="1" x14ac:dyDescent="0.3">
      <c r="B878" s="438"/>
      <c r="C878" s="440"/>
      <c r="D878" s="408" t="s">
        <v>569</v>
      </c>
      <c r="E878" s="529" t="s">
        <v>1688</v>
      </c>
      <c r="F878" s="1005"/>
      <c r="G878" s="1006">
        <f>SUM(G874:G877)</f>
        <v>15000000</v>
      </c>
      <c r="H878" s="849"/>
    </row>
    <row r="879" spans="2:8" ht="28.5" x14ac:dyDescent="0.25">
      <c r="B879" s="438"/>
      <c r="C879" s="440"/>
      <c r="E879" s="309" t="s">
        <v>1817</v>
      </c>
      <c r="F879" s="166" t="s">
        <v>1049</v>
      </c>
      <c r="G879" s="560">
        <v>5000000</v>
      </c>
      <c r="H879" s="727" t="s">
        <v>1818</v>
      </c>
    </row>
    <row r="880" spans="2:8" ht="15.75" thickBot="1" x14ac:dyDescent="0.3">
      <c r="B880" s="438"/>
      <c r="C880" s="440"/>
      <c r="E880" s="564"/>
      <c r="F880" s="886" t="s">
        <v>1050</v>
      </c>
      <c r="G880" s="463">
        <v>15000000</v>
      </c>
      <c r="H880" s="887" t="s">
        <v>376</v>
      </c>
    </row>
    <row r="881" spans="2:8" ht="15.75" thickBot="1" x14ac:dyDescent="0.3">
      <c r="B881" s="438"/>
      <c r="C881" s="440"/>
      <c r="E881" s="876" t="s">
        <v>1801</v>
      </c>
      <c r="F881" s="1007"/>
      <c r="G881" s="705">
        <v>20000000</v>
      </c>
      <c r="H881" s="281"/>
    </row>
    <row r="882" spans="2:8" ht="15.75" customHeight="1" thickBot="1" x14ac:dyDescent="0.3">
      <c r="B882" s="438"/>
      <c r="C882" s="440"/>
      <c r="D882" s="784" t="s">
        <v>1051</v>
      </c>
      <c r="E882" s="1008"/>
      <c r="F882" s="1009"/>
      <c r="G882" s="779">
        <f>G873+G878+G881</f>
        <v>40000000</v>
      </c>
      <c r="H882" s="778"/>
    </row>
    <row r="883" spans="2:8" ht="15.75" thickBot="1" x14ac:dyDescent="0.3">
      <c r="B883" s="443" t="s">
        <v>1197</v>
      </c>
      <c r="C883" s="443" t="s">
        <v>1383</v>
      </c>
      <c r="D883" s="406"/>
      <c r="E883" s="183" t="s">
        <v>22</v>
      </c>
      <c r="F883" s="231" t="s">
        <v>27</v>
      </c>
      <c r="G883" s="494" t="s">
        <v>362</v>
      </c>
      <c r="H883" s="265" t="s">
        <v>1175</v>
      </c>
    </row>
    <row r="884" spans="2:8" ht="45.75" thickBot="1" x14ac:dyDescent="0.3">
      <c r="B884" s="438" t="s">
        <v>1725</v>
      </c>
      <c r="C884" s="440" t="s">
        <v>1726</v>
      </c>
      <c r="D884" s="367" t="s">
        <v>23</v>
      </c>
      <c r="E884" s="874" t="s">
        <v>1052</v>
      </c>
      <c r="F884" s="723"/>
      <c r="G884" s="559"/>
      <c r="H884" s="723"/>
    </row>
    <row r="885" spans="2:8" ht="42.75" x14ac:dyDescent="0.25">
      <c r="B885" s="438"/>
      <c r="C885" s="440"/>
      <c r="D885" s="873" t="s">
        <v>24</v>
      </c>
      <c r="E885" s="397" t="s">
        <v>1820</v>
      </c>
      <c r="F885" s="761" t="s">
        <v>1824</v>
      </c>
      <c r="G885" s="541" t="s">
        <v>1821</v>
      </c>
      <c r="H885" s="727" t="s">
        <v>1822</v>
      </c>
    </row>
    <row r="886" spans="2:8" ht="42.75" x14ac:dyDescent="0.25">
      <c r="B886" s="438"/>
      <c r="C886" s="440"/>
      <c r="D886" s="986"/>
      <c r="E886" s="884" t="s">
        <v>1823</v>
      </c>
      <c r="F886" s="880" t="s">
        <v>1825</v>
      </c>
      <c r="G886" s="539" t="s">
        <v>1821</v>
      </c>
      <c r="H886" s="882" t="s">
        <v>1822</v>
      </c>
    </row>
    <row r="887" spans="2:8" ht="43.5" thickBot="1" x14ac:dyDescent="0.3">
      <c r="B887" s="438"/>
      <c r="C887" s="440"/>
      <c r="D887" s="415"/>
      <c r="E887" s="885" t="s">
        <v>1826</v>
      </c>
      <c r="F887" s="886" t="s">
        <v>1827</v>
      </c>
      <c r="G887" s="547" t="s">
        <v>1821</v>
      </c>
      <c r="H887" s="887" t="s">
        <v>1822</v>
      </c>
    </row>
    <row r="888" spans="2:8" ht="43.5" x14ac:dyDescent="0.25">
      <c r="B888" s="438"/>
      <c r="C888" s="440"/>
      <c r="D888" s="400" t="s">
        <v>25</v>
      </c>
      <c r="E888" s="970" t="s">
        <v>1828</v>
      </c>
      <c r="F888" s="761" t="s">
        <v>1829</v>
      </c>
      <c r="G888" s="541" t="s">
        <v>1807</v>
      </c>
      <c r="H888" s="727" t="s">
        <v>1808</v>
      </c>
    </row>
    <row r="889" spans="2:8" ht="29.25" x14ac:dyDescent="0.25">
      <c r="B889" s="438"/>
      <c r="C889" s="440"/>
      <c r="D889" s="401"/>
      <c r="E889" s="760" t="s">
        <v>1830</v>
      </c>
      <c r="F889" s="2" t="s">
        <v>1053</v>
      </c>
      <c r="G889" s="580"/>
      <c r="H889" s="167" t="s">
        <v>1048</v>
      </c>
    </row>
    <row r="890" spans="2:8" ht="44.25" thickBot="1" x14ac:dyDescent="0.3">
      <c r="B890" s="438"/>
      <c r="C890" s="440"/>
      <c r="D890" s="401"/>
      <c r="E890" s="306" t="s">
        <v>1831</v>
      </c>
      <c r="F890" s="550" t="s">
        <v>1054</v>
      </c>
      <c r="G890" s="1011" t="s">
        <v>1807</v>
      </c>
      <c r="H890" s="506" t="s">
        <v>1808</v>
      </c>
    </row>
    <row r="891" spans="2:8" ht="15.75" thickBot="1" x14ac:dyDescent="0.3">
      <c r="B891" s="438"/>
      <c r="C891" s="440"/>
      <c r="D891" s="188" t="s">
        <v>26</v>
      </c>
      <c r="E891" s="646"/>
      <c r="F891" s="973" t="s">
        <v>380</v>
      </c>
      <c r="G891" s="974" t="s">
        <v>21</v>
      </c>
      <c r="H891" s="288" t="s">
        <v>934</v>
      </c>
    </row>
    <row r="892" spans="2:8" ht="44.25" thickBot="1" x14ac:dyDescent="0.3">
      <c r="B892" s="438"/>
      <c r="C892" s="440"/>
      <c r="E892" s="958" t="s">
        <v>1832</v>
      </c>
      <c r="F892" s="1014" t="s">
        <v>1035</v>
      </c>
      <c r="G892" s="1015">
        <v>5000000</v>
      </c>
      <c r="H892" s="861" t="s">
        <v>1800</v>
      </c>
    </row>
    <row r="893" spans="2:8" ht="15.75" thickBot="1" x14ac:dyDescent="0.3">
      <c r="B893" s="438"/>
      <c r="C893" s="440"/>
      <c r="E893" s="876" t="s">
        <v>1687</v>
      </c>
      <c r="F893" s="246"/>
      <c r="G893" s="705">
        <f>SUM(G892)</f>
        <v>5000000</v>
      </c>
      <c r="H893" s="283"/>
    </row>
    <row r="894" spans="2:8" ht="30" thickBot="1" x14ac:dyDescent="0.3">
      <c r="B894" s="438"/>
      <c r="C894" s="440"/>
      <c r="E894" s="1016" t="s">
        <v>1833</v>
      </c>
      <c r="F894" s="1017" t="s">
        <v>1035</v>
      </c>
      <c r="G894" s="1018">
        <v>7500000</v>
      </c>
      <c r="H894" s="1019" t="s">
        <v>1021</v>
      </c>
    </row>
    <row r="895" spans="2:8" ht="15.75" thickBot="1" x14ac:dyDescent="0.3">
      <c r="B895" s="438"/>
      <c r="C895" s="440"/>
      <c r="E895" s="876" t="s">
        <v>1688</v>
      </c>
      <c r="F895" s="246"/>
      <c r="G895" s="705">
        <f>SUM(G894)</f>
        <v>7500000</v>
      </c>
      <c r="H895" s="283"/>
    </row>
    <row r="896" spans="2:8" ht="29.25" thickBot="1" x14ac:dyDescent="0.3">
      <c r="B896" s="438"/>
      <c r="C896" s="440"/>
      <c r="E896" s="775" t="s">
        <v>1055</v>
      </c>
      <c r="F896" s="1013" t="s">
        <v>1049</v>
      </c>
      <c r="G896" s="1020">
        <v>7500000</v>
      </c>
      <c r="H896" s="1012" t="s">
        <v>1036</v>
      </c>
    </row>
    <row r="897" spans="2:8" ht="15.75" thickBot="1" x14ac:dyDescent="0.3">
      <c r="B897" s="438"/>
      <c r="C897" s="440"/>
      <c r="E897" s="529" t="s">
        <v>1801</v>
      </c>
      <c r="F897" s="258"/>
      <c r="G897" s="1027">
        <f>SUM(G896)</f>
        <v>7500000</v>
      </c>
      <c r="H897" s="266"/>
    </row>
    <row r="898" spans="2:8" ht="15.75" thickBot="1" x14ac:dyDescent="0.3">
      <c r="B898" s="438"/>
      <c r="C898" s="440"/>
      <c r="D898" s="844" t="s">
        <v>1056</v>
      </c>
      <c r="E898" s="962"/>
      <c r="F898" s="962"/>
      <c r="G898" s="846">
        <f>G893+G895+G897</f>
        <v>20000000</v>
      </c>
      <c r="H898" s="836"/>
    </row>
    <row r="899" spans="2:8" ht="15.75" thickBot="1" x14ac:dyDescent="0.3">
      <c r="B899" s="443" t="s">
        <v>1197</v>
      </c>
      <c r="C899" s="443" t="s">
        <v>1383</v>
      </c>
      <c r="D899" s="406"/>
      <c r="E899" s="183" t="s">
        <v>22</v>
      </c>
      <c r="F899" s="231" t="s">
        <v>27</v>
      </c>
      <c r="G899" s="494" t="s">
        <v>362</v>
      </c>
      <c r="H899" s="265" t="s">
        <v>1175</v>
      </c>
    </row>
    <row r="900" spans="2:8" ht="60.75" thickBot="1" x14ac:dyDescent="0.3">
      <c r="B900" s="438" t="s">
        <v>1727</v>
      </c>
      <c r="C900" s="440" t="s">
        <v>1728</v>
      </c>
      <c r="D900" s="366" t="s">
        <v>23</v>
      </c>
      <c r="E900" s="874" t="s">
        <v>1057</v>
      </c>
      <c r="F900" s="723"/>
      <c r="G900" s="559"/>
      <c r="H900" s="723"/>
    </row>
    <row r="901" spans="2:8" ht="42.75" x14ac:dyDescent="0.25">
      <c r="B901" s="438"/>
      <c r="C901" s="440"/>
      <c r="D901" s="217" t="s">
        <v>24</v>
      </c>
      <c r="E901" s="175" t="s">
        <v>1058</v>
      </c>
      <c r="F901" s="166" t="s">
        <v>1059</v>
      </c>
      <c r="G901" s="997" t="s">
        <v>371</v>
      </c>
      <c r="H901" s="727" t="s">
        <v>1773</v>
      </c>
    </row>
    <row r="902" spans="2:8" ht="42.75" x14ac:dyDescent="0.25">
      <c r="B902" s="438"/>
      <c r="C902" s="440"/>
      <c r="D902" s="399"/>
      <c r="E902" s="168" t="s">
        <v>1060</v>
      </c>
      <c r="F902" s="2" t="s">
        <v>1061</v>
      </c>
      <c r="G902" s="539" t="s">
        <v>1835</v>
      </c>
      <c r="H902" s="167" t="s">
        <v>649</v>
      </c>
    </row>
    <row r="903" spans="2:8" ht="42.75" x14ac:dyDescent="0.25">
      <c r="B903" s="438"/>
      <c r="C903" s="440"/>
      <c r="D903" s="399"/>
      <c r="E903" s="168" t="s">
        <v>1062</v>
      </c>
      <c r="F903" s="2" t="s">
        <v>1063</v>
      </c>
      <c r="G903" s="539" t="s">
        <v>1836</v>
      </c>
      <c r="H903" s="167" t="s">
        <v>429</v>
      </c>
    </row>
    <row r="904" spans="2:8" ht="29.25" thickBot="1" x14ac:dyDescent="0.3">
      <c r="B904" s="438"/>
      <c r="C904" s="440"/>
      <c r="D904" s="399"/>
      <c r="E904" s="688" t="s">
        <v>1064</v>
      </c>
      <c r="F904" s="886" t="s">
        <v>1837</v>
      </c>
      <c r="G904" s="956" t="s">
        <v>1065</v>
      </c>
      <c r="H904" s="563" t="s">
        <v>1066</v>
      </c>
    </row>
    <row r="905" spans="2:8" ht="43.5" x14ac:dyDescent="0.25">
      <c r="B905" s="438"/>
      <c r="C905" s="534"/>
      <c r="D905" s="877" t="s">
        <v>25</v>
      </c>
      <c r="E905" s="1029" t="s">
        <v>1838</v>
      </c>
      <c r="F905" s="166" t="s">
        <v>1067</v>
      </c>
      <c r="G905" s="541" t="s">
        <v>1839</v>
      </c>
      <c r="H905" s="176" t="s">
        <v>1068</v>
      </c>
    </row>
    <row r="906" spans="2:8" ht="57" x14ac:dyDescent="0.25">
      <c r="B906" s="438"/>
      <c r="C906" s="534"/>
      <c r="D906" s="867"/>
      <c r="E906" s="1030" t="s">
        <v>1840</v>
      </c>
      <c r="F906" s="2" t="s">
        <v>1069</v>
      </c>
      <c r="G906" s="539" t="s">
        <v>1847</v>
      </c>
      <c r="H906" s="167" t="s">
        <v>1070</v>
      </c>
    </row>
    <row r="907" spans="2:8" ht="72" x14ac:dyDescent="0.25">
      <c r="B907" s="438"/>
      <c r="C907" s="534"/>
      <c r="D907" s="875"/>
      <c r="E907" s="1030" t="s">
        <v>1843</v>
      </c>
      <c r="F907" s="880" t="s">
        <v>1841</v>
      </c>
      <c r="G907" s="539" t="s">
        <v>1842</v>
      </c>
      <c r="H907" s="882" t="s">
        <v>1068</v>
      </c>
    </row>
    <row r="908" spans="2:8" ht="30" thickBot="1" x14ac:dyDescent="0.3">
      <c r="B908" s="438"/>
      <c r="C908" s="534"/>
      <c r="D908" s="866"/>
      <c r="E908" s="284" t="s">
        <v>1844</v>
      </c>
      <c r="F908" s="240" t="s">
        <v>1845</v>
      </c>
      <c r="G908" s="1011" t="s">
        <v>1065</v>
      </c>
      <c r="H908" s="506" t="s">
        <v>1846</v>
      </c>
    </row>
    <row r="909" spans="2:8" ht="15.75" thickBot="1" x14ac:dyDescent="0.3">
      <c r="B909" s="438"/>
      <c r="C909" s="440"/>
      <c r="D909" s="897"/>
      <c r="E909" s="585"/>
      <c r="F909" s="162" t="s">
        <v>380</v>
      </c>
      <c r="G909" s="555" t="s">
        <v>21</v>
      </c>
      <c r="H909" s="265" t="s">
        <v>934</v>
      </c>
    </row>
    <row r="910" spans="2:8" ht="30" thickBot="1" x14ac:dyDescent="0.3">
      <c r="B910" s="438"/>
      <c r="C910" s="440"/>
      <c r="D910" s="897"/>
      <c r="E910" s="206" t="s">
        <v>1848</v>
      </c>
      <c r="F910" s="163" t="s">
        <v>1071</v>
      </c>
      <c r="G910" s="215">
        <v>1000000</v>
      </c>
      <c r="H910" s="163" t="s">
        <v>1072</v>
      </c>
    </row>
    <row r="911" spans="2:8" ht="15.75" thickBot="1" x14ac:dyDescent="0.3">
      <c r="B911" s="438"/>
      <c r="C911" s="440"/>
      <c r="D911" s="896"/>
      <c r="E911" s="455" t="s">
        <v>392</v>
      </c>
      <c r="F911" s="200"/>
      <c r="G911" s="555">
        <f>SUM(G910)</f>
        <v>1000000</v>
      </c>
      <c r="H911" s="201"/>
    </row>
    <row r="912" spans="2:8" ht="58.5" thickBot="1" x14ac:dyDescent="0.3">
      <c r="B912" s="438"/>
      <c r="C912" s="440"/>
      <c r="D912" s="897"/>
      <c r="E912" s="206" t="s">
        <v>1849</v>
      </c>
      <c r="F912" s="6" t="s">
        <v>1073</v>
      </c>
      <c r="G912" s="457">
        <v>500000</v>
      </c>
      <c r="H912" s="6" t="s">
        <v>1074</v>
      </c>
    </row>
    <row r="913" spans="2:8" ht="15.75" thickBot="1" x14ac:dyDescent="0.3">
      <c r="B913" s="438"/>
      <c r="C913" s="440"/>
      <c r="D913" s="896"/>
      <c r="E913" s="455" t="s">
        <v>405</v>
      </c>
      <c r="F913" s="200"/>
      <c r="G913" s="555">
        <f>SUM(G912)</f>
        <v>500000</v>
      </c>
      <c r="H913" s="201"/>
    </row>
    <row r="914" spans="2:8" ht="86.25" x14ac:dyDescent="0.25">
      <c r="B914" s="438"/>
      <c r="C914" s="440"/>
      <c r="D914" s="897"/>
      <c r="E914" s="206" t="s">
        <v>1850</v>
      </c>
      <c r="F914" s="6" t="s">
        <v>1075</v>
      </c>
      <c r="G914" s="457">
        <v>750000</v>
      </c>
      <c r="H914" s="6" t="s">
        <v>426</v>
      </c>
    </row>
    <row r="915" spans="2:8" ht="29.25" thickBot="1" x14ac:dyDescent="0.3">
      <c r="B915" s="438"/>
      <c r="C915" s="440"/>
      <c r="D915" s="939"/>
      <c r="E915" s="263"/>
      <c r="F915" s="32" t="s">
        <v>1076</v>
      </c>
      <c r="G915" s="186">
        <v>4250000</v>
      </c>
      <c r="H915" s="32" t="s">
        <v>426</v>
      </c>
    </row>
    <row r="916" spans="2:8" ht="15.75" thickBot="1" x14ac:dyDescent="0.3">
      <c r="B916" s="438"/>
      <c r="C916" s="440"/>
      <c r="D916" s="893"/>
      <c r="E916" s="816" t="s">
        <v>1763</v>
      </c>
      <c r="F916" s="723"/>
      <c r="G916" s="187">
        <f>SUM(G914:G915)</f>
        <v>5000000</v>
      </c>
      <c r="H916" s="723"/>
    </row>
    <row r="917" spans="2:8" ht="29.25" x14ac:dyDescent="0.25">
      <c r="B917" s="438"/>
      <c r="C917" s="440"/>
      <c r="D917" s="894"/>
      <c r="E917" s="1031" t="s">
        <v>1851</v>
      </c>
      <c r="F917" s="502" t="s">
        <v>388</v>
      </c>
      <c r="G917" s="461">
        <v>10000000</v>
      </c>
      <c r="H917" s="727" t="s">
        <v>426</v>
      </c>
    </row>
    <row r="918" spans="2:8" x14ac:dyDescent="0.25">
      <c r="B918" s="438"/>
      <c r="C918" s="440"/>
      <c r="D918" s="894"/>
      <c r="E918" s="1032"/>
      <c r="F918" s="881" t="s">
        <v>1077</v>
      </c>
      <c r="G918" s="511">
        <v>190000000</v>
      </c>
      <c r="H918" s="882" t="s">
        <v>376</v>
      </c>
    </row>
    <row r="919" spans="2:8" ht="29.25" x14ac:dyDescent="0.25">
      <c r="B919" s="438"/>
      <c r="C919" s="440"/>
      <c r="D919" s="894"/>
      <c r="E919" s="1033" t="s">
        <v>1852</v>
      </c>
      <c r="F919" s="165" t="s">
        <v>529</v>
      </c>
      <c r="G919" s="548">
        <v>250000</v>
      </c>
      <c r="H919" s="167" t="s">
        <v>601</v>
      </c>
    </row>
    <row r="920" spans="2:8" x14ac:dyDescent="0.25">
      <c r="B920" s="438"/>
      <c r="C920" s="440"/>
      <c r="D920" s="894"/>
      <c r="E920" s="1034"/>
      <c r="F920" s="881" t="s">
        <v>533</v>
      </c>
      <c r="G920" s="511">
        <v>4750000</v>
      </c>
      <c r="H920" s="274"/>
    </row>
    <row r="921" spans="2:8" ht="29.25" x14ac:dyDescent="0.25">
      <c r="B921" s="438"/>
      <c r="C921" s="440"/>
      <c r="D921" s="894"/>
      <c r="E921" s="1033" t="s">
        <v>1853</v>
      </c>
      <c r="F921" s="881" t="s">
        <v>1071</v>
      </c>
      <c r="G921" s="548" t="s">
        <v>20</v>
      </c>
      <c r="H921" s="882" t="s">
        <v>1854</v>
      </c>
    </row>
    <row r="922" spans="2:8" ht="15.75" thickBot="1" x14ac:dyDescent="0.3">
      <c r="B922" s="438"/>
      <c r="C922" s="440"/>
      <c r="D922" s="947"/>
      <c r="E922" s="1035" t="s">
        <v>1577</v>
      </c>
      <c r="F922" s="304"/>
      <c r="G922" s="469">
        <f>SUM(G917:G921)</f>
        <v>205000000</v>
      </c>
      <c r="H922" s="33"/>
    </row>
    <row r="923" spans="2:8" ht="15.75" thickBot="1" x14ac:dyDescent="0.3">
      <c r="B923" s="438"/>
      <c r="C923" s="440"/>
      <c r="D923" s="784" t="s">
        <v>1078</v>
      </c>
      <c r="E923" s="783"/>
      <c r="F923" s="1008"/>
      <c r="G923" s="779">
        <f>G911+G913+G916+G922</f>
        <v>211500000</v>
      </c>
      <c r="H923" s="778"/>
    </row>
    <row r="924" spans="2:8" ht="15.75" thickBot="1" x14ac:dyDescent="0.3">
      <c r="B924" s="443" t="s">
        <v>1197</v>
      </c>
      <c r="C924" s="443" t="s">
        <v>1383</v>
      </c>
      <c r="D924" s="406"/>
      <c r="E924" s="183" t="s">
        <v>22</v>
      </c>
      <c r="F924" s="231" t="s">
        <v>27</v>
      </c>
      <c r="G924" s="555" t="s">
        <v>362</v>
      </c>
      <c r="H924" s="265" t="s">
        <v>1175</v>
      </c>
    </row>
    <row r="925" spans="2:8" ht="75.75" thickBot="1" x14ac:dyDescent="0.3">
      <c r="B925" s="438" t="s">
        <v>1729</v>
      </c>
      <c r="C925" s="440" t="s">
        <v>1730</v>
      </c>
      <c r="D925" s="225" t="s">
        <v>23</v>
      </c>
      <c r="E925" s="235" t="s">
        <v>1130</v>
      </c>
      <c r="F925" s="536"/>
      <c r="G925" s="537"/>
      <c r="H925" s="203"/>
    </row>
    <row r="926" spans="2:8" ht="28.5" x14ac:dyDescent="0.25">
      <c r="B926" s="438"/>
      <c r="C926" s="440"/>
      <c r="D926" s="873" t="s">
        <v>24</v>
      </c>
      <c r="E926" s="397" t="s">
        <v>1079</v>
      </c>
      <c r="F926" s="761" t="s">
        <v>1080</v>
      </c>
      <c r="G926" s="560" t="s">
        <v>1081</v>
      </c>
      <c r="H926" s="727" t="s">
        <v>426</v>
      </c>
    </row>
    <row r="927" spans="2:8" ht="42.75" x14ac:dyDescent="0.25">
      <c r="B927" s="438"/>
      <c r="C927" s="440"/>
      <c r="D927" s="873"/>
      <c r="E927" s="168" t="s">
        <v>1082</v>
      </c>
      <c r="F927" s="2" t="s">
        <v>1083</v>
      </c>
      <c r="G927" s="548" t="s">
        <v>1084</v>
      </c>
      <c r="H927" s="882" t="s">
        <v>1855</v>
      </c>
    </row>
    <row r="928" spans="2:8" ht="28.5" x14ac:dyDescent="0.25">
      <c r="B928" s="438"/>
      <c r="C928" s="440"/>
      <c r="E928" s="168" t="s">
        <v>1085</v>
      </c>
      <c r="F928" s="2" t="s">
        <v>1086</v>
      </c>
      <c r="G928" s="548" t="s">
        <v>1856</v>
      </c>
      <c r="H928" s="167" t="s">
        <v>1087</v>
      </c>
    </row>
    <row r="929" spans="2:8" ht="15.75" thickBot="1" x14ac:dyDescent="0.3">
      <c r="B929" s="438"/>
      <c r="C929" s="440"/>
      <c r="D929" s="415"/>
      <c r="E929" s="885" t="s">
        <v>1859</v>
      </c>
      <c r="F929" s="886" t="s">
        <v>1857</v>
      </c>
      <c r="G929" s="956" t="s">
        <v>1088</v>
      </c>
      <c r="H929" s="887" t="s">
        <v>1858</v>
      </c>
    </row>
    <row r="930" spans="2:8" ht="29.25" x14ac:dyDescent="0.25">
      <c r="B930" s="438"/>
      <c r="C930" s="440"/>
      <c r="D930" s="400" t="s">
        <v>25</v>
      </c>
      <c r="E930" s="970" t="s">
        <v>1860</v>
      </c>
      <c r="F930" s="166" t="s">
        <v>1089</v>
      </c>
      <c r="G930" s="560" t="s">
        <v>1090</v>
      </c>
      <c r="H930" s="176" t="s">
        <v>426</v>
      </c>
    </row>
    <row r="931" spans="2:8" ht="57" x14ac:dyDescent="0.25">
      <c r="B931" s="438"/>
      <c r="C931" s="440"/>
      <c r="D931" s="401"/>
      <c r="E931" s="760" t="s">
        <v>1861</v>
      </c>
      <c r="F931" s="880" t="s">
        <v>1862</v>
      </c>
      <c r="G931" s="548" t="s">
        <v>1863</v>
      </c>
      <c r="H931" s="882" t="s">
        <v>1864</v>
      </c>
    </row>
    <row r="932" spans="2:8" ht="30" thickBot="1" x14ac:dyDescent="0.3">
      <c r="B932" s="438"/>
      <c r="C932" s="440"/>
      <c r="D932" s="401"/>
      <c r="E932" s="306" t="s">
        <v>1865</v>
      </c>
      <c r="F932" s="550" t="s">
        <v>1091</v>
      </c>
      <c r="G932" s="551" t="s">
        <v>497</v>
      </c>
      <c r="H932" s="506" t="s">
        <v>1804</v>
      </c>
    </row>
    <row r="933" spans="2:8" x14ac:dyDescent="0.25">
      <c r="B933" s="438"/>
      <c r="C933" s="440"/>
      <c r="D933" s="189" t="s">
        <v>26</v>
      </c>
      <c r="E933" s="646"/>
      <c r="F933" s="973" t="s">
        <v>380</v>
      </c>
      <c r="G933" s="974" t="s">
        <v>21</v>
      </c>
      <c r="H933" s="288" t="s">
        <v>934</v>
      </c>
    </row>
    <row r="934" spans="2:8" ht="29.25" x14ac:dyDescent="0.25">
      <c r="B934" s="438"/>
      <c r="C934" s="440"/>
      <c r="E934" s="30" t="s">
        <v>1866</v>
      </c>
      <c r="F934" s="880" t="s">
        <v>1095</v>
      </c>
      <c r="G934" s="548">
        <v>50000</v>
      </c>
      <c r="H934" s="538"/>
    </row>
    <row r="935" spans="2:8" ht="29.25" thickBot="1" x14ac:dyDescent="0.3">
      <c r="B935" s="438"/>
      <c r="C935" s="440"/>
      <c r="E935" s="886" t="s">
        <v>1092</v>
      </c>
      <c r="F935" s="238"/>
      <c r="G935" s="547" t="s">
        <v>1093</v>
      </c>
      <c r="H935" s="886" t="s">
        <v>1094</v>
      </c>
    </row>
    <row r="936" spans="2:8" ht="15.75" thickBot="1" x14ac:dyDescent="0.3">
      <c r="B936" s="438"/>
      <c r="C936" s="440"/>
      <c r="E936" s="957" t="s">
        <v>1687</v>
      </c>
      <c r="F936" s="1007"/>
      <c r="G936" s="705">
        <f>SUM(G934:G935)</f>
        <v>50000</v>
      </c>
      <c r="H936" s="283"/>
    </row>
    <row r="937" spans="2:8" ht="29.25" x14ac:dyDescent="0.25">
      <c r="B937" s="438"/>
      <c r="C937" s="440"/>
      <c r="E937" s="1036" t="s">
        <v>1867</v>
      </c>
      <c r="F937" s="1037" t="s">
        <v>388</v>
      </c>
      <c r="G937" s="1038">
        <v>15000000</v>
      </c>
      <c r="H937" s="995" t="s">
        <v>1864</v>
      </c>
    </row>
    <row r="938" spans="2:8" x14ac:dyDescent="0.25">
      <c r="B938" s="438"/>
      <c r="C938" s="440"/>
      <c r="E938" s="1"/>
      <c r="F938" s="880" t="s">
        <v>389</v>
      </c>
      <c r="G938" s="511">
        <v>30000000</v>
      </c>
      <c r="H938" s="880" t="s">
        <v>376</v>
      </c>
    </row>
    <row r="939" spans="2:8" x14ac:dyDescent="0.25">
      <c r="B939" s="438"/>
      <c r="C939" s="440"/>
      <c r="E939" s="538"/>
      <c r="F939" s="880" t="s">
        <v>567</v>
      </c>
      <c r="G939" s="548">
        <v>240000000</v>
      </c>
      <c r="H939" s="2" t="s">
        <v>376</v>
      </c>
    </row>
    <row r="940" spans="2:8" ht="15.75" thickBot="1" x14ac:dyDescent="0.3">
      <c r="B940" s="438"/>
      <c r="C940" s="440"/>
      <c r="E940" s="238"/>
      <c r="F940" s="886" t="s">
        <v>568</v>
      </c>
      <c r="G940" s="463">
        <v>15000000</v>
      </c>
      <c r="H940" s="886" t="s">
        <v>376</v>
      </c>
    </row>
    <row r="941" spans="2:8" ht="15.75" thickBot="1" x14ac:dyDescent="0.3">
      <c r="B941" s="438"/>
      <c r="C941" s="440"/>
      <c r="E941" s="957" t="s">
        <v>1688</v>
      </c>
      <c r="F941" s="1039"/>
      <c r="G941" s="960">
        <f>SUM(G937:G940)</f>
        <v>300000000</v>
      </c>
      <c r="H941" s="1040"/>
    </row>
    <row r="942" spans="2:8" ht="29.25" x14ac:dyDescent="0.25">
      <c r="B942" s="438"/>
      <c r="C942" s="440"/>
      <c r="E942" s="972" t="s">
        <v>1868</v>
      </c>
      <c r="F942" s="2" t="s">
        <v>1095</v>
      </c>
      <c r="G942" s="548">
        <v>10000</v>
      </c>
      <c r="H942" s="2" t="s">
        <v>1096</v>
      </c>
    </row>
    <row r="943" spans="2:8" x14ac:dyDescent="0.25">
      <c r="B943" s="438"/>
      <c r="C943" s="440"/>
      <c r="E943" s="972" t="s">
        <v>1869</v>
      </c>
      <c r="F943" s="2" t="s">
        <v>388</v>
      </c>
      <c r="G943" s="548">
        <v>1000000</v>
      </c>
      <c r="H943" s="880" t="s">
        <v>1804</v>
      </c>
    </row>
    <row r="944" spans="2:8" x14ac:dyDescent="0.25">
      <c r="B944" s="438"/>
      <c r="C944" s="440"/>
      <c r="E944" s="245"/>
      <c r="F944" s="880" t="s">
        <v>389</v>
      </c>
      <c r="G944" s="548">
        <v>2000000</v>
      </c>
      <c r="H944" s="2" t="s">
        <v>376</v>
      </c>
    </row>
    <row r="945" spans="2:8" x14ac:dyDescent="0.25">
      <c r="B945" s="438"/>
      <c r="C945" s="440"/>
      <c r="E945" s="245"/>
      <c r="F945" s="880" t="s">
        <v>567</v>
      </c>
      <c r="G945" s="511">
        <v>16000000</v>
      </c>
      <c r="H945" s="880" t="s">
        <v>376</v>
      </c>
    </row>
    <row r="946" spans="2:8" ht="15.75" thickBot="1" x14ac:dyDescent="0.3">
      <c r="B946" s="438"/>
      <c r="C946" s="440"/>
      <c r="E946" s="245"/>
      <c r="F946" s="880" t="s">
        <v>568</v>
      </c>
      <c r="G946" s="511">
        <v>1000000</v>
      </c>
      <c r="H946" s="880" t="s">
        <v>376</v>
      </c>
    </row>
    <row r="947" spans="2:8" ht="15.75" thickBot="1" x14ac:dyDescent="0.3">
      <c r="B947" s="438"/>
      <c r="C947" s="440"/>
      <c r="E947" s="958" t="s">
        <v>1801</v>
      </c>
      <c r="F947" s="723"/>
      <c r="G947" s="187">
        <f>SUM(G942:G946)</f>
        <v>20010000</v>
      </c>
      <c r="H947" s="723"/>
    </row>
    <row r="948" spans="2:8" ht="15.75" thickBot="1" x14ac:dyDescent="0.3">
      <c r="B948" s="438"/>
      <c r="C948" s="440"/>
      <c r="D948" s="581" t="s">
        <v>1097</v>
      </c>
      <c r="E948" s="729"/>
      <c r="F948" s="254"/>
      <c r="G948" s="576">
        <f>G936+G941+G947</f>
        <v>320060000</v>
      </c>
      <c r="H948" s="297"/>
    </row>
    <row r="949" spans="2:8" ht="15.75" thickBot="1" x14ac:dyDescent="0.3">
      <c r="B949" s="443" t="s">
        <v>1197</v>
      </c>
      <c r="C949" s="443" t="s">
        <v>1383</v>
      </c>
      <c r="D949" s="406"/>
      <c r="E949" s="183" t="s">
        <v>22</v>
      </c>
      <c r="F949" s="231" t="s">
        <v>27</v>
      </c>
      <c r="G949" s="326" t="s">
        <v>362</v>
      </c>
      <c r="H949" s="265" t="s">
        <v>1175</v>
      </c>
    </row>
    <row r="950" spans="2:8" ht="43.5" customHeight="1" thickBot="1" x14ac:dyDescent="0.3">
      <c r="B950" s="438" t="s">
        <v>1731</v>
      </c>
      <c r="C950" s="440" t="s">
        <v>1732</v>
      </c>
      <c r="D950" s="437" t="s">
        <v>23</v>
      </c>
      <c r="E950" s="874" t="s">
        <v>1098</v>
      </c>
      <c r="F950" s="723"/>
      <c r="G950" s="559"/>
      <c r="H950" s="723"/>
    </row>
    <row r="951" spans="2:8" ht="28.5" x14ac:dyDescent="0.25">
      <c r="B951" s="438"/>
      <c r="C951" s="440"/>
      <c r="D951" s="218" t="s">
        <v>24</v>
      </c>
      <c r="E951" s="175" t="s">
        <v>1099</v>
      </c>
      <c r="F951" s="166" t="s">
        <v>1100</v>
      </c>
      <c r="G951" s="541" t="s">
        <v>1870</v>
      </c>
      <c r="H951" s="176" t="s">
        <v>1101</v>
      </c>
    </row>
    <row r="952" spans="2:8" x14ac:dyDescent="0.25">
      <c r="B952" s="438"/>
      <c r="C952" s="440"/>
      <c r="D952" s="399"/>
      <c r="E952" s="168" t="s">
        <v>1102</v>
      </c>
      <c r="F952" s="880" t="s">
        <v>1871</v>
      </c>
      <c r="G952" s="991" t="s">
        <v>1103</v>
      </c>
      <c r="H952" s="167" t="s">
        <v>370</v>
      </c>
    </row>
    <row r="953" spans="2:8" ht="42.75" x14ac:dyDescent="0.25">
      <c r="B953" s="438"/>
      <c r="C953" s="440"/>
      <c r="D953" s="399"/>
      <c r="E953" s="884" t="s">
        <v>1872</v>
      </c>
      <c r="F953" s="880" t="s">
        <v>1873</v>
      </c>
      <c r="G953" s="539" t="s">
        <v>1874</v>
      </c>
      <c r="H953" s="882" t="s">
        <v>1875</v>
      </c>
    </row>
    <row r="954" spans="2:8" ht="43.5" thickBot="1" x14ac:dyDescent="0.3">
      <c r="B954" s="438"/>
      <c r="C954" s="440"/>
      <c r="D954" s="399"/>
      <c r="E954" s="216" t="s">
        <v>1104</v>
      </c>
      <c r="F954" s="550" t="s">
        <v>1105</v>
      </c>
      <c r="G954" s="1011" t="s">
        <v>1876</v>
      </c>
      <c r="H954" s="562" t="s">
        <v>1106</v>
      </c>
    </row>
    <row r="955" spans="2:8" ht="28.5" x14ac:dyDescent="0.25">
      <c r="B955" s="438"/>
      <c r="C955" s="440"/>
      <c r="D955" s="188" t="s">
        <v>25</v>
      </c>
      <c r="E955" s="6" t="s">
        <v>1107</v>
      </c>
      <c r="F955" s="6" t="s">
        <v>1108</v>
      </c>
      <c r="G955" s="987" t="s">
        <v>1109</v>
      </c>
      <c r="H955" s="35" t="s">
        <v>1877</v>
      </c>
    </row>
    <row r="956" spans="2:8" ht="29.25" thickBot="1" x14ac:dyDescent="0.3">
      <c r="B956" s="438"/>
      <c r="C956" s="440"/>
      <c r="D956" s="869"/>
      <c r="E956" s="35" t="s">
        <v>1878</v>
      </c>
      <c r="F956" s="35" t="s">
        <v>1879</v>
      </c>
      <c r="G956" s="157" t="s">
        <v>1880</v>
      </c>
      <c r="H956" s="35" t="s">
        <v>370</v>
      </c>
    </row>
    <row r="957" spans="2:8" x14ac:dyDescent="0.25">
      <c r="B957" s="438"/>
      <c r="C957" s="440"/>
      <c r="E957" s="308" t="s">
        <v>1110</v>
      </c>
      <c r="F957" s="250" t="s">
        <v>1112</v>
      </c>
      <c r="G957" s="1028" t="s">
        <v>1114</v>
      </c>
      <c r="H957" s="250" t="s">
        <v>1116</v>
      </c>
    </row>
    <row r="958" spans="2:8" ht="15.75" thickBot="1" x14ac:dyDescent="0.3">
      <c r="B958" s="438"/>
      <c r="C958" s="440"/>
      <c r="E958" s="34" t="s">
        <v>1111</v>
      </c>
      <c r="F958" s="32" t="s">
        <v>1113</v>
      </c>
      <c r="G958" s="212" t="s">
        <v>1115</v>
      </c>
      <c r="H958" s="32" t="s">
        <v>1117</v>
      </c>
    </row>
    <row r="959" spans="2:8" x14ac:dyDescent="0.25">
      <c r="B959" s="438"/>
      <c r="C959" s="440"/>
      <c r="E959" s="34" t="s">
        <v>1118</v>
      </c>
      <c r="F959" s="35" t="s">
        <v>1120</v>
      </c>
      <c r="G959" s="984" t="s">
        <v>1122</v>
      </c>
      <c r="H959" s="35" t="s">
        <v>1123</v>
      </c>
    </row>
    <row r="960" spans="2:8" ht="29.25" thickBot="1" x14ac:dyDescent="0.3">
      <c r="B960" s="438"/>
      <c r="C960" s="440"/>
      <c r="E960" s="311" t="s">
        <v>1119</v>
      </c>
      <c r="F960" s="32" t="s">
        <v>1121</v>
      </c>
      <c r="G960" s="985"/>
      <c r="H960" s="32" t="s">
        <v>1124</v>
      </c>
    </row>
    <row r="961" spans="2:8" ht="15.75" thickBot="1" x14ac:dyDescent="0.3">
      <c r="B961" s="438"/>
      <c r="C961" s="440"/>
      <c r="D961" s="189" t="s">
        <v>26</v>
      </c>
      <c r="E961" s="585"/>
      <c r="F961" s="973" t="s">
        <v>380</v>
      </c>
      <c r="G961" s="1041" t="s">
        <v>21</v>
      </c>
      <c r="H961" s="288" t="s">
        <v>934</v>
      </c>
    </row>
    <row r="962" spans="2:8" ht="28.5" x14ac:dyDescent="0.25">
      <c r="B962" s="438"/>
      <c r="C962" s="440"/>
      <c r="E962" s="983" t="s">
        <v>1125</v>
      </c>
      <c r="F962" s="175" t="s">
        <v>388</v>
      </c>
      <c r="G962" s="560">
        <v>50000</v>
      </c>
      <c r="H962" s="727" t="s">
        <v>1877</v>
      </c>
    </row>
    <row r="963" spans="2:8" x14ac:dyDescent="0.25">
      <c r="B963" s="438"/>
      <c r="C963" s="440"/>
      <c r="E963" s="865"/>
      <c r="F963" s="884" t="s">
        <v>389</v>
      </c>
      <c r="G963" s="548">
        <v>500000</v>
      </c>
      <c r="H963" s="167" t="s">
        <v>376</v>
      </c>
    </row>
    <row r="964" spans="2:8" x14ac:dyDescent="0.25">
      <c r="B964" s="438"/>
      <c r="C964" s="440"/>
      <c r="E964" s="245"/>
      <c r="F964" s="884" t="s">
        <v>567</v>
      </c>
      <c r="G964" s="511">
        <v>8000000</v>
      </c>
      <c r="H964" s="882" t="s">
        <v>376</v>
      </c>
    </row>
    <row r="965" spans="2:8" ht="15.75" thickBot="1" x14ac:dyDescent="0.3">
      <c r="B965" s="438"/>
      <c r="C965" s="440"/>
      <c r="E965" s="865"/>
      <c r="F965" s="885" t="s">
        <v>568</v>
      </c>
      <c r="G965" s="956">
        <v>500000</v>
      </c>
      <c r="H965" s="563" t="s">
        <v>376</v>
      </c>
    </row>
    <row r="966" spans="2:8" ht="15.75" thickBot="1" x14ac:dyDescent="0.3">
      <c r="B966" s="438"/>
      <c r="C966" s="440"/>
      <c r="E966" s="455" t="s">
        <v>392</v>
      </c>
      <c r="F966" s="254"/>
      <c r="G966" s="576">
        <f>SUM(G962:G965)</f>
        <v>9050000</v>
      </c>
      <c r="H966" s="297"/>
    </row>
    <row r="967" spans="2:8" ht="29.25" thickBot="1" x14ac:dyDescent="0.3">
      <c r="B967" s="438"/>
      <c r="C967" s="440"/>
      <c r="E967" s="34" t="s">
        <v>1126</v>
      </c>
      <c r="F967" s="874" t="s">
        <v>1127</v>
      </c>
      <c r="G967" s="460">
        <v>25000000</v>
      </c>
      <c r="H967" s="874" t="s">
        <v>1128</v>
      </c>
    </row>
    <row r="968" spans="2:8" ht="15.75" thickBot="1" x14ac:dyDescent="0.3">
      <c r="B968" s="438"/>
      <c r="C968" s="440"/>
      <c r="E968" s="455" t="s">
        <v>405</v>
      </c>
      <c r="F968" s="249"/>
      <c r="G968" s="576">
        <f>SUM(G967)</f>
        <v>25000000</v>
      </c>
      <c r="H968" s="294"/>
    </row>
    <row r="969" spans="2:8" ht="57.75" thickBot="1" x14ac:dyDescent="0.3">
      <c r="B969" s="438"/>
      <c r="C969" s="440"/>
      <c r="E969" s="34" t="s">
        <v>1881</v>
      </c>
      <c r="F969" s="35" t="s">
        <v>1882</v>
      </c>
      <c r="G969" s="457">
        <v>4500000</v>
      </c>
      <c r="H969" s="874" t="s">
        <v>426</v>
      </c>
    </row>
    <row r="970" spans="2:8" ht="15.75" thickBot="1" x14ac:dyDescent="0.3">
      <c r="B970" s="438"/>
      <c r="C970" s="440"/>
      <c r="E970" s="558" t="s">
        <v>479</v>
      </c>
      <c r="F970" s="235"/>
      <c r="G970" s="974">
        <f>SUM(G969)</f>
        <v>4500000</v>
      </c>
      <c r="H970" s="266"/>
    </row>
    <row r="971" spans="2:8" ht="15.75" thickBot="1" x14ac:dyDescent="0.3">
      <c r="B971" s="438"/>
      <c r="C971" s="440"/>
      <c r="D971" s="1087" t="s">
        <v>1129</v>
      </c>
      <c r="E971" s="1088"/>
      <c r="F971" s="845"/>
      <c r="G971" s="846">
        <f>+G966+G968+G970</f>
        <v>38550000</v>
      </c>
      <c r="H971" s="836"/>
    </row>
    <row r="972" spans="2:8" ht="15.75" thickBot="1" x14ac:dyDescent="0.3">
      <c r="B972" s="443" t="s">
        <v>1197</v>
      </c>
      <c r="C972" s="443" t="s">
        <v>1383</v>
      </c>
      <c r="D972" s="406"/>
      <c r="E972" s="183" t="s">
        <v>22</v>
      </c>
      <c r="F972" s="231" t="s">
        <v>27</v>
      </c>
      <c r="G972" s="326" t="s">
        <v>362</v>
      </c>
      <c r="H972" s="265" t="s">
        <v>1175</v>
      </c>
    </row>
    <row r="973" spans="2:8" ht="45.75" thickBot="1" x14ac:dyDescent="0.3">
      <c r="B973" s="438" t="s">
        <v>1401</v>
      </c>
      <c r="C973" s="440" t="s">
        <v>1402</v>
      </c>
      <c r="D973" s="413" t="s">
        <v>23</v>
      </c>
      <c r="E973" s="725" t="s">
        <v>1130</v>
      </c>
      <c r="F973" s="723"/>
      <c r="G973" s="472"/>
      <c r="H973" s="723"/>
    </row>
    <row r="974" spans="2:8" ht="71.25" x14ac:dyDescent="0.25">
      <c r="B974" s="438"/>
      <c r="C974" s="440"/>
      <c r="D974" s="529" t="s">
        <v>24</v>
      </c>
      <c r="E974" s="397" t="s">
        <v>1524</v>
      </c>
      <c r="F974" s="761" t="s">
        <v>1885</v>
      </c>
      <c r="G974" s="541" t="s">
        <v>1883</v>
      </c>
      <c r="H974" s="727" t="s">
        <v>1884</v>
      </c>
    </row>
    <row r="975" spans="2:8" ht="42.75" x14ac:dyDescent="0.25">
      <c r="B975" s="438"/>
      <c r="C975" s="440"/>
      <c r="D975" s="879"/>
      <c r="E975" s="884" t="s">
        <v>1131</v>
      </c>
      <c r="F975" s="880" t="s">
        <v>1132</v>
      </c>
      <c r="G975" s="539" t="s">
        <v>1133</v>
      </c>
      <c r="H975" s="882" t="s">
        <v>1134</v>
      </c>
    </row>
    <row r="976" spans="2:8" ht="114.75" thickBot="1" x14ac:dyDescent="0.3">
      <c r="B976" s="438"/>
      <c r="C976" s="440"/>
      <c r="D976" s="179"/>
      <c r="E976" s="885" t="s">
        <v>1525</v>
      </c>
      <c r="F976" s="886" t="s">
        <v>1887</v>
      </c>
      <c r="G976" s="547" t="s">
        <v>1886</v>
      </c>
      <c r="H976" s="887" t="s">
        <v>1135</v>
      </c>
    </row>
    <row r="977" spans="2:8" ht="28.5" x14ac:dyDescent="0.25">
      <c r="B977" s="438"/>
      <c r="C977" s="440"/>
      <c r="D977" s="401" t="s">
        <v>25</v>
      </c>
      <c r="E977" s="175" t="s">
        <v>1136</v>
      </c>
      <c r="F977" s="761" t="s">
        <v>1888</v>
      </c>
      <c r="G977" s="560" t="s">
        <v>1137</v>
      </c>
      <c r="H977" s="727" t="s">
        <v>1804</v>
      </c>
    </row>
    <row r="978" spans="2:8" ht="28.5" x14ac:dyDescent="0.25">
      <c r="B978" s="438"/>
      <c r="C978" s="440"/>
      <c r="D978" s="871"/>
      <c r="E978" s="168" t="s">
        <v>1138</v>
      </c>
      <c r="F978" s="880" t="s">
        <v>1889</v>
      </c>
      <c r="G978" s="548" t="s">
        <v>1139</v>
      </c>
      <c r="H978" s="167" t="s">
        <v>1140</v>
      </c>
    </row>
    <row r="979" spans="2:8" ht="42.75" x14ac:dyDescent="0.25">
      <c r="B979" s="438"/>
      <c r="C979" s="440"/>
      <c r="D979" s="399"/>
      <c r="E979" s="168" t="s">
        <v>1141</v>
      </c>
      <c r="F979" s="880" t="s">
        <v>1890</v>
      </c>
      <c r="G979" s="539" t="s">
        <v>1891</v>
      </c>
      <c r="H979" s="882" t="s">
        <v>1892</v>
      </c>
    </row>
    <row r="980" spans="2:8" ht="29.25" thickBot="1" x14ac:dyDescent="0.3">
      <c r="B980" s="438"/>
      <c r="C980" s="440"/>
      <c r="D980" s="399"/>
      <c r="E980" s="216" t="s">
        <v>1142</v>
      </c>
      <c r="F980" s="240" t="s">
        <v>1893</v>
      </c>
      <c r="G980" s="1011" t="s">
        <v>1894</v>
      </c>
      <c r="H980" s="562" t="s">
        <v>1143</v>
      </c>
    </row>
    <row r="981" spans="2:8" ht="15.75" thickBot="1" x14ac:dyDescent="0.3">
      <c r="B981" s="438"/>
      <c r="C981" s="440"/>
      <c r="D981" s="189" t="s">
        <v>26</v>
      </c>
      <c r="E981" s="988"/>
      <c r="F981" s="586" t="s">
        <v>380</v>
      </c>
      <c r="G981" s="1042" t="s">
        <v>21</v>
      </c>
      <c r="H981" s="579" t="s">
        <v>934</v>
      </c>
    </row>
    <row r="982" spans="2:8" ht="29.25" thickBot="1" x14ac:dyDescent="0.3">
      <c r="B982" s="438"/>
      <c r="C982" s="440"/>
      <c r="D982" s="416"/>
      <c r="E982" s="458" t="s">
        <v>1526</v>
      </c>
      <c r="F982" s="35" t="s">
        <v>1095</v>
      </c>
      <c r="G982" s="215">
        <v>10000</v>
      </c>
      <c r="H982" s="163" t="s">
        <v>982</v>
      </c>
    </row>
    <row r="983" spans="2:8" ht="48.75" customHeight="1" x14ac:dyDescent="0.25">
      <c r="B983" s="438"/>
      <c r="C983" s="440"/>
      <c r="D983" s="399"/>
      <c r="E983" s="371"/>
      <c r="F983" s="174" t="s">
        <v>1527</v>
      </c>
      <c r="G983" s="215">
        <v>990000</v>
      </c>
      <c r="H983" s="35" t="s">
        <v>1463</v>
      </c>
    </row>
    <row r="984" spans="2:8" ht="30" thickBot="1" x14ac:dyDescent="0.3">
      <c r="B984" s="438"/>
      <c r="C984" s="440"/>
      <c r="D984" s="370"/>
      <c r="E984" s="206" t="s">
        <v>1528</v>
      </c>
      <c r="F984" s="6" t="s">
        <v>388</v>
      </c>
      <c r="G984" s="457">
        <v>5000000</v>
      </c>
      <c r="H984" s="35" t="s">
        <v>1531</v>
      </c>
    </row>
    <row r="985" spans="2:8" x14ac:dyDescent="0.25">
      <c r="B985" s="438"/>
      <c r="C985" s="440"/>
      <c r="D985" s="370"/>
      <c r="E985" s="13"/>
      <c r="F985" s="35" t="s">
        <v>389</v>
      </c>
      <c r="G985" s="215">
        <v>10000000</v>
      </c>
      <c r="H985" s="35" t="s">
        <v>1529</v>
      </c>
    </row>
    <row r="986" spans="2:8" ht="15.75" thickBot="1" x14ac:dyDescent="0.3">
      <c r="B986" s="438"/>
      <c r="C986" s="440"/>
      <c r="D986" s="370"/>
      <c r="E986" s="13"/>
      <c r="F986" s="32" t="s">
        <v>533</v>
      </c>
      <c r="G986" s="186">
        <v>80000000</v>
      </c>
      <c r="H986" s="32" t="s">
        <v>376</v>
      </c>
    </row>
    <row r="987" spans="2:8" ht="15.75" thickBot="1" x14ac:dyDescent="0.3">
      <c r="B987" s="438"/>
      <c r="C987" s="440"/>
      <c r="D987" s="370"/>
      <c r="E987" s="14"/>
      <c r="F987" s="32" t="s">
        <v>568</v>
      </c>
      <c r="G987" s="186">
        <v>5000000</v>
      </c>
      <c r="H987" s="32" t="s">
        <v>376</v>
      </c>
    </row>
    <row r="988" spans="2:8" ht="30" thickBot="1" x14ac:dyDescent="0.3">
      <c r="B988" s="438"/>
      <c r="C988" s="440"/>
      <c r="D988" s="370"/>
      <c r="E988" s="206" t="s">
        <v>1530</v>
      </c>
      <c r="F988" s="369"/>
      <c r="G988" s="215" t="s">
        <v>20</v>
      </c>
      <c r="H988" s="163" t="s">
        <v>1144</v>
      </c>
    </row>
    <row r="989" spans="2:8" ht="15.75" thickBot="1" x14ac:dyDescent="0.3">
      <c r="B989" s="438"/>
      <c r="C989" s="440"/>
      <c r="D989" s="399"/>
      <c r="E989" s="558" t="s">
        <v>392</v>
      </c>
      <c r="F989" s="848"/>
      <c r="G989" s="1046">
        <f>SUM(G982:G988)</f>
        <v>101000000</v>
      </c>
      <c r="H989" s="849"/>
    </row>
    <row r="990" spans="2:8" x14ac:dyDescent="0.25">
      <c r="B990" s="438"/>
      <c r="C990" s="440"/>
      <c r="D990" s="399"/>
      <c r="E990" s="970" t="s">
        <v>1532</v>
      </c>
      <c r="F990" s="761" t="s">
        <v>1533</v>
      </c>
      <c r="G990" s="560">
        <v>2000000</v>
      </c>
      <c r="H990" s="727" t="s">
        <v>1534</v>
      </c>
    </row>
    <row r="991" spans="2:8" ht="30" thickBot="1" x14ac:dyDescent="0.3">
      <c r="B991" s="438"/>
      <c r="C991" s="440"/>
      <c r="D991" s="399"/>
      <c r="E991" s="306" t="s">
        <v>1535</v>
      </c>
      <c r="F991" s="240" t="s">
        <v>1533</v>
      </c>
      <c r="G991" s="551">
        <v>2000000</v>
      </c>
      <c r="H991" s="506" t="s">
        <v>1536</v>
      </c>
    </row>
    <row r="992" spans="2:8" ht="15.75" thickBot="1" x14ac:dyDescent="0.3">
      <c r="B992" s="438"/>
      <c r="C992" s="440"/>
      <c r="D992" s="399"/>
      <c r="E992" s="1047" t="s">
        <v>479</v>
      </c>
      <c r="F992" s="260"/>
      <c r="G992" s="1048">
        <f>SUM(G990:G991)</f>
        <v>4000000</v>
      </c>
      <c r="H992" s="298"/>
    </row>
    <row r="993" spans="2:8" ht="15.75" thickBot="1" x14ac:dyDescent="0.3">
      <c r="B993" s="438"/>
      <c r="C993" s="440"/>
      <c r="D993" s="941" t="s">
        <v>1145</v>
      </c>
      <c r="E993" s="940"/>
      <c r="F993" s="940"/>
      <c r="G993" s="1043">
        <f>G989+G992</f>
        <v>105000000</v>
      </c>
      <c r="H993" s="1044"/>
    </row>
    <row r="994" spans="2:8" s="177" customFormat="1" ht="15.75" thickBot="1" x14ac:dyDescent="0.3">
      <c r="B994" s="587" t="s">
        <v>1197</v>
      </c>
      <c r="C994" s="587" t="s">
        <v>1383</v>
      </c>
      <c r="D994" s="588"/>
      <c r="E994" s="589" t="s">
        <v>22</v>
      </c>
      <c r="F994" s="590" t="s">
        <v>27</v>
      </c>
      <c r="G994" s="591" t="s">
        <v>362</v>
      </c>
      <c r="H994" s="592" t="s">
        <v>1175</v>
      </c>
    </row>
    <row r="995" spans="2:8" s="177" customFormat="1" ht="45.75" thickBot="1" x14ac:dyDescent="0.3">
      <c r="B995" s="593" t="s">
        <v>1515</v>
      </c>
      <c r="C995" s="594" t="s">
        <v>1516</v>
      </c>
      <c r="D995" s="599" t="s">
        <v>23</v>
      </c>
      <c r="E995" s="637" t="s">
        <v>1146</v>
      </c>
      <c r="F995" s="1051"/>
      <c r="G995" s="598"/>
      <c r="H995" s="597"/>
    </row>
    <row r="996" spans="2:8" s="177" customFormat="1" ht="28.5" x14ac:dyDescent="0.25">
      <c r="B996" s="593"/>
      <c r="C996" s="441"/>
      <c r="D996" s="1049" t="s">
        <v>24</v>
      </c>
      <c r="E996" s="1064" t="s">
        <v>1517</v>
      </c>
      <c r="F996" s="1058" t="s">
        <v>1895</v>
      </c>
      <c r="G996" s="1052"/>
      <c r="H996" s="636" t="s">
        <v>1149</v>
      </c>
    </row>
    <row r="997" spans="2:8" s="177" customFormat="1" ht="72" thickBot="1" x14ac:dyDescent="0.3">
      <c r="B997" s="593"/>
      <c r="C997" s="441"/>
      <c r="D997" s="1053"/>
      <c r="E997" s="1065" t="s">
        <v>1150</v>
      </c>
      <c r="F997" s="1059" t="s">
        <v>1897</v>
      </c>
      <c r="G997" s="1054" t="s">
        <v>1898</v>
      </c>
      <c r="H997" s="630" t="s">
        <v>1896</v>
      </c>
    </row>
    <row r="998" spans="2:8" s="177" customFormat="1" ht="42.75" x14ac:dyDescent="0.25">
      <c r="B998" s="593"/>
      <c r="C998" s="441"/>
      <c r="D998" s="640" t="s">
        <v>25</v>
      </c>
      <c r="E998" s="1066" t="s">
        <v>1900</v>
      </c>
      <c r="F998" s="1060" t="s">
        <v>1153</v>
      </c>
      <c r="G998" s="641" t="s">
        <v>1507</v>
      </c>
      <c r="H998" s="642"/>
    </row>
    <row r="999" spans="2:8" s="177" customFormat="1" ht="42.75" x14ac:dyDescent="0.25">
      <c r="B999" s="593"/>
      <c r="C999" s="441"/>
      <c r="E999" s="1067" t="s">
        <v>1901</v>
      </c>
      <c r="F999" s="1061" t="s">
        <v>1503</v>
      </c>
      <c r="G999" s="607" t="s">
        <v>1505</v>
      </c>
      <c r="H999" s="608"/>
    </row>
    <row r="1000" spans="2:8" s="177" customFormat="1" ht="28.5" x14ac:dyDescent="0.25">
      <c r="B1000" s="593"/>
      <c r="C1000" s="441"/>
      <c r="E1000" s="1067" t="s">
        <v>1504</v>
      </c>
      <c r="F1000" s="1062" t="s">
        <v>1154</v>
      </c>
      <c r="G1000" s="607" t="s">
        <v>1506</v>
      </c>
      <c r="H1000" s="610" t="s">
        <v>1509</v>
      </c>
    </row>
    <row r="1001" spans="2:8" s="177" customFormat="1" ht="28.5" x14ac:dyDescent="0.25">
      <c r="B1001" s="593"/>
      <c r="C1001" s="441"/>
      <c r="E1001" s="1068" t="s">
        <v>1155</v>
      </c>
      <c r="F1001" s="1062" t="s">
        <v>1156</v>
      </c>
      <c r="G1001" s="607" t="s">
        <v>1899</v>
      </c>
      <c r="H1001" s="608"/>
    </row>
    <row r="1002" spans="2:8" s="177" customFormat="1" ht="43.5" thickBot="1" x14ac:dyDescent="0.3">
      <c r="B1002" s="593"/>
      <c r="C1002" s="441"/>
      <c r="E1002" s="1069" t="s">
        <v>1157</v>
      </c>
      <c r="F1002" s="1059" t="s">
        <v>1158</v>
      </c>
      <c r="G1002" s="612"/>
      <c r="H1002" s="613"/>
    </row>
    <row r="1003" spans="2:8" s="177" customFormat="1" ht="15.75" thickBot="1" x14ac:dyDescent="0.3">
      <c r="B1003" s="593"/>
      <c r="C1003" s="614"/>
      <c r="D1003" s="1055" t="s">
        <v>26</v>
      </c>
      <c r="E1003" s="645"/>
      <c r="F1003" s="1063" t="s">
        <v>380</v>
      </c>
      <c r="G1003" s="616" t="s">
        <v>21</v>
      </c>
      <c r="H1003" s="617" t="s">
        <v>934</v>
      </c>
    </row>
    <row r="1004" spans="2:8" s="177" customFormat="1" ht="44.25" thickBot="1" x14ac:dyDescent="0.3">
      <c r="B1004" s="593"/>
      <c r="C1004" s="614"/>
      <c r="D1004" s="1056"/>
      <c r="E1004" s="1070" t="s">
        <v>1902</v>
      </c>
      <c r="F1004" s="632"/>
      <c r="G1004" s="633">
        <v>20000</v>
      </c>
      <c r="H1004" s="604" t="s">
        <v>928</v>
      </c>
    </row>
    <row r="1005" spans="2:8" s="177" customFormat="1" ht="43.5" x14ac:dyDescent="0.25">
      <c r="B1005" s="593"/>
      <c r="C1005" s="614"/>
      <c r="D1005" s="1050"/>
      <c r="E1005" s="1071" t="s">
        <v>1903</v>
      </c>
      <c r="F1005" s="619" t="s">
        <v>388</v>
      </c>
      <c r="G1005" s="620">
        <v>5000000</v>
      </c>
      <c r="H1005" s="596" t="s">
        <v>1191</v>
      </c>
    </row>
    <row r="1006" spans="2:8" s="177" customFormat="1" ht="15.75" thickBot="1" x14ac:dyDescent="0.3">
      <c r="B1006" s="593"/>
      <c r="C1006" s="614"/>
      <c r="D1006" s="1050"/>
      <c r="E1006" s="1072"/>
      <c r="F1006" s="604" t="s">
        <v>389</v>
      </c>
      <c r="G1006" s="634">
        <v>10000000</v>
      </c>
      <c r="H1006" s="604" t="s">
        <v>376</v>
      </c>
    </row>
    <row r="1007" spans="2:8" s="177" customFormat="1" x14ac:dyDescent="0.25">
      <c r="B1007" s="593"/>
      <c r="C1007" s="614"/>
      <c r="D1007" s="1050"/>
      <c r="E1007" s="1072"/>
      <c r="F1007" s="596" t="s">
        <v>533</v>
      </c>
      <c r="G1007" s="620">
        <v>80000000</v>
      </c>
      <c r="H1007" s="621" t="s">
        <v>376</v>
      </c>
    </row>
    <row r="1008" spans="2:8" s="177" customFormat="1" ht="15.75" thickBot="1" x14ac:dyDescent="0.3">
      <c r="B1008" s="593"/>
      <c r="C1008" s="614"/>
      <c r="D1008" s="1050"/>
      <c r="E1008" s="1073"/>
      <c r="F1008" s="604" t="s">
        <v>568</v>
      </c>
      <c r="G1008" s="633">
        <v>5000000</v>
      </c>
      <c r="H1008" s="604" t="s">
        <v>376</v>
      </c>
    </row>
    <row r="1009" spans="2:8" s="177" customFormat="1" ht="15.75" thickBot="1" x14ac:dyDescent="0.3">
      <c r="B1009" s="593"/>
      <c r="C1009" s="614"/>
      <c r="D1009" s="1050"/>
      <c r="E1009" s="1074" t="s">
        <v>392</v>
      </c>
      <c r="F1009" s="632"/>
      <c r="G1009" s="634">
        <f>SUM(G1004:G1008)</f>
        <v>100020000</v>
      </c>
      <c r="H1009" s="632"/>
    </row>
    <row r="1010" spans="2:8" s="177" customFormat="1" ht="15.75" thickBot="1" x14ac:dyDescent="0.3">
      <c r="B1010" s="593"/>
      <c r="C1010" s="614"/>
      <c r="D1010" s="1050"/>
      <c r="E1010" s="1070" t="s">
        <v>1904</v>
      </c>
      <c r="F1010" s="596" t="s">
        <v>1037</v>
      </c>
      <c r="G1010" s="620">
        <v>30000</v>
      </c>
      <c r="H1010" s="621" t="s">
        <v>928</v>
      </c>
    </row>
    <row r="1011" spans="2:8" s="177" customFormat="1" ht="29.25" x14ac:dyDescent="0.25">
      <c r="B1011" s="593"/>
      <c r="C1011" s="614"/>
      <c r="D1011" s="1050"/>
      <c r="E1011" s="1070" t="s">
        <v>1905</v>
      </c>
      <c r="F1011" s="1058" t="s">
        <v>388</v>
      </c>
      <c r="G1011" s="635">
        <v>7500000</v>
      </c>
      <c r="H1011" s="636" t="s">
        <v>376</v>
      </c>
    </row>
    <row r="1012" spans="2:8" s="177" customFormat="1" x14ac:dyDescent="0.25">
      <c r="B1012" s="593"/>
      <c r="C1012" s="614"/>
      <c r="D1012" s="1050"/>
      <c r="E1012" s="1075"/>
      <c r="F1012" s="1061" t="s">
        <v>389</v>
      </c>
      <c r="G1012" s="627">
        <v>15000000</v>
      </c>
      <c r="H1012" s="628" t="s">
        <v>376</v>
      </c>
    </row>
    <row r="1013" spans="2:8" s="177" customFormat="1" x14ac:dyDescent="0.25">
      <c r="B1013" s="593"/>
      <c r="C1013" s="614"/>
      <c r="D1013" s="1050"/>
      <c r="E1013" s="1076"/>
      <c r="F1013" s="1061" t="s">
        <v>533</v>
      </c>
      <c r="G1013" s="626">
        <v>120000000</v>
      </c>
      <c r="H1013" s="610" t="s">
        <v>376</v>
      </c>
    </row>
    <row r="1014" spans="2:8" s="177" customFormat="1" ht="15.75" thickBot="1" x14ac:dyDescent="0.3">
      <c r="B1014" s="593"/>
      <c r="C1014" s="614"/>
      <c r="D1014" s="1050"/>
      <c r="E1014" s="1077"/>
      <c r="F1014" s="1059" t="s">
        <v>568</v>
      </c>
      <c r="G1014" s="629">
        <v>7500000</v>
      </c>
      <c r="H1014" s="630" t="s">
        <v>376</v>
      </c>
    </row>
    <row r="1015" spans="2:8" s="177" customFormat="1" ht="15.75" thickBot="1" x14ac:dyDescent="0.3">
      <c r="B1015" s="593"/>
      <c r="C1015" s="614"/>
      <c r="D1015" s="1050"/>
      <c r="E1015" s="1070" t="s">
        <v>405</v>
      </c>
      <c r="F1015" s="632"/>
      <c r="G1015" s="634">
        <f>SUM(G1010:G1014)</f>
        <v>150030000</v>
      </c>
      <c r="H1015" s="632"/>
    </row>
    <row r="1016" spans="2:8" s="177" customFormat="1" ht="30" thickBot="1" x14ac:dyDescent="0.3">
      <c r="B1016" s="593"/>
      <c r="C1016" s="614"/>
      <c r="D1016" s="1050"/>
      <c r="E1016" s="1071" t="s">
        <v>1906</v>
      </c>
      <c r="F1016" s="604" t="s">
        <v>1161</v>
      </c>
      <c r="G1016" s="633" t="s">
        <v>1162</v>
      </c>
      <c r="H1016" s="604" t="s">
        <v>477</v>
      </c>
    </row>
    <row r="1017" spans="2:8" s="177" customFormat="1" ht="15.75" thickBot="1" x14ac:dyDescent="0.3">
      <c r="B1017" s="593"/>
      <c r="C1017" s="614"/>
      <c r="D1017" s="1050"/>
      <c r="E1017" s="1078"/>
      <c r="F1017" s="604" t="s">
        <v>394</v>
      </c>
      <c r="G1017" s="633">
        <v>47500000</v>
      </c>
      <c r="H1017" s="632"/>
    </row>
    <row r="1018" spans="2:8" s="177" customFormat="1" ht="15.75" thickBot="1" x14ac:dyDescent="0.3">
      <c r="B1018" s="593"/>
      <c r="C1018" s="614"/>
      <c r="D1018" s="1050"/>
      <c r="E1018" s="1070" t="s">
        <v>405</v>
      </c>
      <c r="F1018" s="632"/>
      <c r="G1018" s="634">
        <f>SUM(G1016:G1017)</f>
        <v>47500000</v>
      </c>
      <c r="H1018" s="632"/>
    </row>
    <row r="1019" spans="2:8" s="177" customFormat="1" ht="58.5" thickBot="1" x14ac:dyDescent="0.3">
      <c r="B1019" s="593"/>
      <c r="C1019" s="614"/>
      <c r="D1019" s="1050"/>
      <c r="E1019" s="1071" t="s">
        <v>1512</v>
      </c>
      <c r="F1019" s="604" t="s">
        <v>529</v>
      </c>
      <c r="G1019" s="633">
        <v>500000</v>
      </c>
      <c r="H1019" s="604" t="s">
        <v>477</v>
      </c>
    </row>
    <row r="1020" spans="2:8" s="177" customFormat="1" ht="15.75" thickBot="1" x14ac:dyDescent="0.3">
      <c r="B1020" s="593"/>
      <c r="C1020" s="614"/>
      <c r="D1020" s="1050"/>
      <c r="E1020" s="1079"/>
      <c r="F1020" s="604" t="s">
        <v>1163</v>
      </c>
      <c r="G1020" s="633">
        <v>9500000</v>
      </c>
      <c r="H1020" s="604" t="s">
        <v>1164</v>
      </c>
    </row>
    <row r="1021" spans="2:8" s="177" customFormat="1" ht="30" thickBot="1" x14ac:dyDescent="0.3">
      <c r="B1021" s="593"/>
      <c r="C1021" s="614"/>
      <c r="D1021" s="1050"/>
      <c r="E1021" s="1070" t="s">
        <v>1513</v>
      </c>
      <c r="F1021" s="619" t="s">
        <v>1165</v>
      </c>
      <c r="G1021" s="620">
        <v>100000</v>
      </c>
      <c r="H1021" s="621" t="s">
        <v>426</v>
      </c>
    </row>
    <row r="1022" spans="2:8" s="177" customFormat="1" ht="44.25" thickBot="1" x14ac:dyDescent="0.3">
      <c r="B1022" s="593"/>
      <c r="C1022" s="614"/>
      <c r="D1022" s="1050"/>
      <c r="E1022" s="1070" t="s">
        <v>1514</v>
      </c>
      <c r="F1022" s="619" t="s">
        <v>1165</v>
      </c>
      <c r="G1022" s="620">
        <v>10000</v>
      </c>
      <c r="H1022" s="621" t="s">
        <v>1166</v>
      </c>
    </row>
    <row r="1023" spans="2:8" s="177" customFormat="1" ht="15.75" thickBot="1" x14ac:dyDescent="0.3">
      <c r="B1023" s="593"/>
      <c r="C1023" s="614"/>
      <c r="D1023" s="1057"/>
      <c r="E1023" s="1080" t="s">
        <v>1769</v>
      </c>
      <c r="F1023" s="644"/>
      <c r="G1023" s="638">
        <f>SUM(G1019:G1022)</f>
        <v>10110000</v>
      </c>
      <c r="H1023" s="639"/>
    </row>
    <row r="1024" spans="2:8" s="177" customFormat="1" ht="15.75" thickBot="1" x14ac:dyDescent="0.3">
      <c r="B1024" s="593"/>
      <c r="C1024" s="441"/>
      <c r="D1024" s="1081" t="s">
        <v>1518</v>
      </c>
      <c r="E1024" s="1082"/>
      <c r="F1024" s="1083"/>
      <c r="G1024" s="846">
        <f>G1009+G1015+G1018+G1023</f>
        <v>307660000</v>
      </c>
      <c r="H1024" s="836"/>
    </row>
    <row r="1025" spans="2:8" s="177" customFormat="1" ht="15.75" thickBot="1" x14ac:dyDescent="0.3">
      <c r="B1025" s="587" t="s">
        <v>1197</v>
      </c>
      <c r="C1025" s="587" t="s">
        <v>1383</v>
      </c>
      <c r="D1025" s="588"/>
      <c r="E1025" s="589" t="s">
        <v>22</v>
      </c>
      <c r="F1025" s="590" t="s">
        <v>27</v>
      </c>
      <c r="G1025" s="591" t="s">
        <v>362</v>
      </c>
      <c r="H1025" s="592" t="s">
        <v>1175</v>
      </c>
    </row>
    <row r="1026" spans="2:8" s="177" customFormat="1" ht="75.75" thickBot="1" x14ac:dyDescent="0.3">
      <c r="B1026" s="593" t="s">
        <v>1519</v>
      </c>
      <c r="C1026" s="594" t="s">
        <v>1521</v>
      </c>
      <c r="D1026" s="595" t="s">
        <v>23</v>
      </c>
      <c r="E1026" s="596" t="s">
        <v>1520</v>
      </c>
      <c r="F1026" s="597"/>
      <c r="G1026" s="598"/>
      <c r="H1026" s="597"/>
    </row>
    <row r="1027" spans="2:8" s="177" customFormat="1" ht="29.25" thickBot="1" x14ac:dyDescent="0.3">
      <c r="B1027" s="593"/>
      <c r="C1027" s="441"/>
      <c r="D1027" s="599" t="s">
        <v>24</v>
      </c>
      <c r="E1027" s="600" t="s">
        <v>1522</v>
      </c>
      <c r="F1027" s="601" t="s">
        <v>1147</v>
      </c>
      <c r="G1027" s="602" t="s">
        <v>1148</v>
      </c>
      <c r="H1027" s="603" t="s">
        <v>1149</v>
      </c>
    </row>
    <row r="1028" spans="2:8" s="177" customFormat="1" ht="30" thickBot="1" x14ac:dyDescent="0.3">
      <c r="B1028" s="593"/>
      <c r="C1028" s="441"/>
      <c r="D1028" s="605" t="s">
        <v>25</v>
      </c>
      <c r="E1028" s="647" t="s">
        <v>1151</v>
      </c>
      <c r="F1028" s="648" t="s">
        <v>1152</v>
      </c>
      <c r="G1028" s="649" t="s">
        <v>1508</v>
      </c>
      <c r="H1028" s="650"/>
    </row>
    <row r="1029" spans="2:8" s="177" customFormat="1" ht="15.75" thickBot="1" x14ac:dyDescent="0.3">
      <c r="B1029" s="593"/>
      <c r="C1029" s="614"/>
      <c r="D1029" s="615" t="s">
        <v>26</v>
      </c>
      <c r="E1029" s="655"/>
      <c r="F1029" s="653" t="s">
        <v>380</v>
      </c>
      <c r="G1029" s="654" t="s">
        <v>21</v>
      </c>
      <c r="H1029" s="592" t="s">
        <v>934</v>
      </c>
    </row>
    <row r="1030" spans="2:8" s="177" customFormat="1" ht="30" thickBot="1" x14ac:dyDescent="0.3">
      <c r="B1030" s="593"/>
      <c r="C1030" s="614"/>
      <c r="D1030" s="618"/>
      <c r="E1030" s="617" t="s">
        <v>1510</v>
      </c>
      <c r="F1030" s="643" t="s">
        <v>1159</v>
      </c>
      <c r="G1030" s="651">
        <v>50000</v>
      </c>
      <c r="H1030" s="652" t="s">
        <v>1160</v>
      </c>
    </row>
    <row r="1031" spans="2:8" s="177" customFormat="1" ht="43.5" x14ac:dyDescent="0.25">
      <c r="B1031" s="593"/>
      <c r="C1031" s="614"/>
      <c r="D1031" s="618"/>
      <c r="E1031" s="622" t="s">
        <v>1511</v>
      </c>
      <c r="F1031" s="606" t="s">
        <v>388</v>
      </c>
      <c r="G1031" s="623">
        <v>2500000</v>
      </c>
      <c r="H1031" s="624" t="s">
        <v>477</v>
      </c>
    </row>
    <row r="1032" spans="2:8" s="177" customFormat="1" x14ac:dyDescent="0.25">
      <c r="B1032" s="593"/>
      <c r="C1032" s="614"/>
      <c r="D1032" s="618"/>
      <c r="E1032" s="625"/>
      <c r="F1032" s="609" t="s">
        <v>389</v>
      </c>
      <c r="G1032" s="626">
        <v>5000000</v>
      </c>
      <c r="H1032" s="610" t="s">
        <v>376</v>
      </c>
    </row>
    <row r="1033" spans="2:8" s="177" customFormat="1" x14ac:dyDescent="0.25">
      <c r="B1033" s="593"/>
      <c r="C1033" s="614"/>
      <c r="D1033" s="618"/>
      <c r="E1033" s="625"/>
      <c r="F1033" s="609" t="s">
        <v>533</v>
      </c>
      <c r="G1033" s="627">
        <v>30000000</v>
      </c>
      <c r="H1033" s="628" t="s">
        <v>376</v>
      </c>
    </row>
    <row r="1034" spans="2:8" s="177" customFormat="1" ht="15.75" thickBot="1" x14ac:dyDescent="0.3">
      <c r="B1034" s="593"/>
      <c r="C1034" s="614"/>
      <c r="D1034" s="618"/>
      <c r="E1034" s="625"/>
      <c r="F1034" s="611" t="s">
        <v>568</v>
      </c>
      <c r="G1034" s="629">
        <v>2500000</v>
      </c>
      <c r="H1034" s="630" t="s">
        <v>376</v>
      </c>
    </row>
    <row r="1035" spans="2:8" s="177" customFormat="1" ht="15.75" thickBot="1" x14ac:dyDescent="0.3">
      <c r="B1035" s="593"/>
      <c r="C1035" s="614"/>
      <c r="D1035" s="618"/>
      <c r="E1035" s="1084" t="s">
        <v>392</v>
      </c>
      <c r="F1035" s="631"/>
      <c r="G1035" s="1085">
        <f>SUM(G1030:G1034)</f>
        <v>40050000</v>
      </c>
      <c r="H1035" s="868"/>
    </row>
    <row r="1036" spans="2:8" s="177" customFormat="1" ht="15.75" thickBot="1" x14ac:dyDescent="0.3">
      <c r="B1036" s="593"/>
      <c r="C1036" s="441"/>
      <c r="D1036" s="832" t="s">
        <v>1523</v>
      </c>
      <c r="E1036" s="833"/>
      <c r="F1036" s="1086"/>
      <c r="G1036" s="846">
        <f>SUM(G1035)</f>
        <v>40050000</v>
      </c>
      <c r="H1036" s="836"/>
    </row>
    <row r="1037" spans="2:8" ht="15.75" thickBot="1" x14ac:dyDescent="0.3">
      <c r="B1037" s="443" t="s">
        <v>1197</v>
      </c>
      <c r="C1037" s="443" t="s">
        <v>1383</v>
      </c>
      <c r="D1037" s="406"/>
      <c r="E1037" s="183" t="s">
        <v>22</v>
      </c>
      <c r="F1037" s="231" t="s">
        <v>27</v>
      </c>
      <c r="G1037" s="494" t="s">
        <v>362</v>
      </c>
      <c r="H1037" s="265" t="s">
        <v>1175</v>
      </c>
    </row>
    <row r="1038" spans="2:8" ht="45.75" thickBot="1" x14ac:dyDescent="0.3">
      <c r="B1038" s="264" t="s">
        <v>1302</v>
      </c>
      <c r="C1038" s="528" t="s">
        <v>1400</v>
      </c>
      <c r="D1038" s="183" t="s">
        <v>23</v>
      </c>
      <c r="E1038" s="294" t="s">
        <v>1303</v>
      </c>
      <c r="F1038" s="113"/>
      <c r="G1038" s="708"/>
      <c r="H1038" s="230"/>
    </row>
    <row r="1039" spans="2:8" ht="29.25" thickBot="1" x14ac:dyDescent="0.3">
      <c r="B1039" s="438"/>
      <c r="C1039" s="440"/>
      <c r="D1039" s="191" t="s">
        <v>24</v>
      </c>
      <c r="E1039" s="582" t="s">
        <v>1167</v>
      </c>
      <c r="F1039" s="200" t="s">
        <v>1168</v>
      </c>
      <c r="G1039" s="557" t="s">
        <v>1907</v>
      </c>
      <c r="H1039" s="201" t="s">
        <v>786</v>
      </c>
    </row>
    <row r="1040" spans="2:8" ht="29.25" thickBot="1" x14ac:dyDescent="0.3">
      <c r="B1040" s="438"/>
      <c r="C1040" s="440"/>
      <c r="D1040" s="571" t="s">
        <v>25</v>
      </c>
      <c r="E1040" s="374" t="s">
        <v>1169</v>
      </c>
      <c r="F1040" s="374" t="s">
        <v>1170</v>
      </c>
      <c r="G1040" s="157" t="s">
        <v>1171</v>
      </c>
      <c r="H1040" s="374" t="s">
        <v>376</v>
      </c>
    </row>
    <row r="1041" spans="2:8" ht="29.25" customHeight="1" thickBot="1" x14ac:dyDescent="0.3">
      <c r="B1041" s="438"/>
      <c r="C1041" s="440"/>
      <c r="D1041" s="183" t="s">
        <v>26</v>
      </c>
      <c r="E1041" s="113"/>
      <c r="F1041" s="162" t="s">
        <v>64</v>
      </c>
      <c r="G1041" s="979" t="s">
        <v>21</v>
      </c>
      <c r="H1041" s="265" t="s">
        <v>934</v>
      </c>
    </row>
    <row r="1042" spans="2:8" ht="29.25" thickBot="1" x14ac:dyDescent="0.3">
      <c r="B1042" s="438"/>
      <c r="C1042" s="440"/>
      <c r="D1042" s="875"/>
      <c r="E1042" s="874" t="s">
        <v>1172</v>
      </c>
      <c r="F1042" s="874" t="s">
        <v>766</v>
      </c>
      <c r="G1042" s="460">
        <v>200000</v>
      </c>
      <c r="H1042" s="874" t="s">
        <v>786</v>
      </c>
    </row>
    <row r="1043" spans="2:8" ht="30.75" customHeight="1" thickBot="1" x14ac:dyDescent="0.3">
      <c r="B1043" s="439"/>
      <c r="C1043" s="442"/>
      <c r="D1043" s="581" t="s">
        <v>1173</v>
      </c>
      <c r="E1043" s="585"/>
      <c r="F1043" s="254"/>
      <c r="G1043" s="576">
        <f>SUM(G1042)</f>
        <v>200000</v>
      </c>
      <c r="H1043" s="297"/>
    </row>
    <row r="1044" spans="2:8" x14ac:dyDescent="0.25">
      <c r="D1044" s="160"/>
    </row>
    <row r="1045" spans="2:8" x14ac:dyDescent="0.25">
      <c r="D1045" s="160"/>
    </row>
    <row r="1046" spans="2:8" x14ac:dyDescent="0.25">
      <c r="D1046" s="160"/>
    </row>
  </sheetData>
  <mergeCells count="73">
    <mergeCell ref="E1006:E1008"/>
    <mergeCell ref="D993:F993"/>
    <mergeCell ref="D916:D922"/>
    <mergeCell ref="D909:D915"/>
    <mergeCell ref="D835:D836"/>
    <mergeCell ref="E835:E836"/>
    <mergeCell ref="F835:F836"/>
    <mergeCell ref="G835:G836"/>
    <mergeCell ref="D804:D820"/>
    <mergeCell ref="D660:D675"/>
    <mergeCell ref="F749:F750"/>
    <mergeCell ref="G749:G750"/>
    <mergeCell ref="H749:H750"/>
    <mergeCell ref="G752:G753"/>
    <mergeCell ref="H752:H753"/>
    <mergeCell ref="D756:F756"/>
    <mergeCell ref="D744:D754"/>
    <mergeCell ref="E610:E612"/>
    <mergeCell ref="G611:G612"/>
    <mergeCell ref="E601:E602"/>
    <mergeCell ref="F601:F602"/>
    <mergeCell ref="H601:H602"/>
    <mergeCell ref="D605:D607"/>
    <mergeCell ref="D583:D596"/>
    <mergeCell ref="D553:F553"/>
    <mergeCell ref="H498:H499"/>
    <mergeCell ref="D504:D519"/>
    <mergeCell ref="E513:E515"/>
    <mergeCell ref="D494:D503"/>
    <mergeCell ref="G498:G499"/>
    <mergeCell ref="E431:E433"/>
    <mergeCell ref="E440:E442"/>
    <mergeCell ref="D427:D444"/>
    <mergeCell ref="D463:D469"/>
    <mergeCell ref="D470:D481"/>
    <mergeCell ref="D461:D462"/>
    <mergeCell ref="D305:D306"/>
    <mergeCell ref="E309:E310"/>
    <mergeCell ref="F309:F310"/>
    <mergeCell ref="D291:D297"/>
    <mergeCell ref="H309:H310"/>
    <mergeCell ref="E335:E338"/>
    <mergeCell ref="D322:D338"/>
    <mergeCell ref="D355:D370"/>
    <mergeCell ref="D407:D410"/>
    <mergeCell ref="D116:D118"/>
    <mergeCell ref="D119:D132"/>
    <mergeCell ref="E119:E120"/>
    <mergeCell ref="F119:F120"/>
    <mergeCell ref="G119:G120"/>
    <mergeCell ref="G273:G274"/>
    <mergeCell ref="D280:D290"/>
    <mergeCell ref="G284:G285"/>
    <mergeCell ref="H284:H285"/>
    <mergeCell ref="D260:D279"/>
    <mergeCell ref="F273:F274"/>
    <mergeCell ref="D228:D243"/>
    <mergeCell ref="D244:D259"/>
    <mergeCell ref="D221:D227"/>
    <mergeCell ref="D60:D63"/>
    <mergeCell ref="D72:D82"/>
    <mergeCell ref="D65:D71"/>
    <mergeCell ref="D7:D9"/>
    <mergeCell ref="E11:E12"/>
    <mergeCell ref="F11:F12"/>
    <mergeCell ref="H11:H12"/>
    <mergeCell ref="E45:E46"/>
    <mergeCell ref="D55:D56"/>
    <mergeCell ref="E55:E56"/>
    <mergeCell ref="F55:F56"/>
    <mergeCell ref="H55:H56"/>
    <mergeCell ref="D19:D50"/>
    <mergeCell ref="D10:D18"/>
  </mergeCells>
  <pageMargins left="0.7" right="0.7" top="0.75" bottom="0.75" header="0.3" footer="0.3"/>
  <pageSetup paperSize="9" scale="27"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53"/>
  <sheetViews>
    <sheetView workbookViewId="0">
      <pane xSplit="6" ySplit="3" topLeftCell="G30" activePane="bottomRight" state="frozen"/>
      <selection pane="topRight" activeCell="G1" sqref="G1"/>
      <selection pane="bottomLeft" activeCell="A4" sqref="A4"/>
      <selection pane="bottomRight" activeCell="G28" sqref="G28"/>
    </sheetView>
  </sheetViews>
  <sheetFormatPr baseColWidth="10" defaultRowHeight="15" x14ac:dyDescent="0.25"/>
  <cols>
    <col min="1" max="1" width="4.85546875" style="1021" customWidth="1"/>
    <col min="2" max="2" width="53.85546875" style="57" customWidth="1"/>
    <col min="3" max="3" width="17.7109375" style="57" customWidth="1"/>
    <col min="4" max="4" width="20.28515625" style="57" customWidth="1"/>
    <col min="5" max="5" width="19.140625" style="57" customWidth="1"/>
    <col min="6" max="6" width="19.5703125" style="57" customWidth="1"/>
    <col min="7" max="7" width="20.7109375" style="57" customWidth="1"/>
    <col min="8" max="8" width="19.28515625" style="57" customWidth="1"/>
    <col min="9" max="9" width="17.7109375" style="57" customWidth="1"/>
    <col min="10" max="10" width="17.5703125" style="57" customWidth="1"/>
    <col min="11" max="11" width="18.5703125" style="57" customWidth="1"/>
    <col min="12" max="13" width="19.42578125" style="57" customWidth="1"/>
    <col min="14" max="14" width="17.85546875" style="57" customWidth="1"/>
    <col min="15" max="15" width="18.7109375" style="57" customWidth="1"/>
    <col min="16" max="17" width="19.42578125" style="57" customWidth="1"/>
    <col min="18" max="18" width="18.7109375" style="57" customWidth="1"/>
    <col min="19" max="19" width="18.85546875" style="57" customWidth="1"/>
    <col min="20" max="20" width="17.7109375" style="57" customWidth="1"/>
    <col min="21" max="21" width="17.5703125" style="57" customWidth="1"/>
    <col min="22" max="22" width="18.7109375" style="57" customWidth="1"/>
    <col min="23" max="23" width="18.42578125" style="57" customWidth="1"/>
    <col min="24" max="24" width="18.7109375" style="57" customWidth="1"/>
    <col min="25" max="25" width="18.5703125" style="57" customWidth="1"/>
    <col min="26" max="26" width="19.28515625" style="57" customWidth="1"/>
    <col min="27" max="27" width="18.7109375" style="57" customWidth="1"/>
    <col min="28" max="28" width="18.85546875" style="57" customWidth="1"/>
    <col min="29" max="29" width="18.7109375" style="57" customWidth="1"/>
    <col min="30" max="16384" width="11.42578125" style="37"/>
  </cols>
  <sheetData>
    <row r="1" spans="1:29" ht="18.75" x14ac:dyDescent="0.25">
      <c r="B1" s="81" t="s">
        <v>102</v>
      </c>
    </row>
    <row r="3" spans="1:29" ht="45" x14ac:dyDescent="0.25">
      <c r="A3" s="16" t="s">
        <v>3</v>
      </c>
      <c r="B3" s="17" t="s">
        <v>12</v>
      </c>
      <c r="C3" s="36" t="s">
        <v>69</v>
      </c>
      <c r="D3" s="36" t="s">
        <v>70</v>
      </c>
      <c r="E3" s="36" t="s">
        <v>71</v>
      </c>
      <c r="F3" s="36" t="s">
        <v>72</v>
      </c>
      <c r="G3" s="706" t="s">
        <v>73</v>
      </c>
      <c r="H3" s="36" t="s">
        <v>74</v>
      </c>
      <c r="I3" s="36" t="s">
        <v>75</v>
      </c>
      <c r="J3" s="36" t="s">
        <v>76</v>
      </c>
      <c r="K3" s="36" t="s">
        <v>77</v>
      </c>
      <c r="L3" s="36" t="s">
        <v>78</v>
      </c>
      <c r="M3" s="36" t="s">
        <v>79</v>
      </c>
      <c r="N3" s="36" t="s">
        <v>80</v>
      </c>
      <c r="O3" s="36" t="s">
        <v>81</v>
      </c>
      <c r="P3" s="36" t="s">
        <v>82</v>
      </c>
      <c r="Q3" s="36" t="s">
        <v>83</v>
      </c>
      <c r="R3" s="36" t="s">
        <v>84</v>
      </c>
      <c r="S3" s="36" t="s">
        <v>85</v>
      </c>
      <c r="T3" s="36" t="s">
        <v>86</v>
      </c>
      <c r="U3" s="36" t="s">
        <v>87</v>
      </c>
      <c r="V3" s="36" t="s">
        <v>88</v>
      </c>
      <c r="W3" s="36" t="s">
        <v>89</v>
      </c>
      <c r="X3" s="36" t="s">
        <v>90</v>
      </c>
      <c r="Y3" s="36" t="s">
        <v>91</v>
      </c>
      <c r="Z3" s="36" t="s">
        <v>92</v>
      </c>
      <c r="AA3" s="36" t="s">
        <v>93</v>
      </c>
      <c r="AB3" s="36" t="s">
        <v>94</v>
      </c>
      <c r="AC3" s="36" t="s">
        <v>95</v>
      </c>
    </row>
    <row r="4" spans="1:29" s="41" customFormat="1" x14ac:dyDescent="0.25">
      <c r="A4" s="16"/>
      <c r="B4" s="16" t="s">
        <v>4</v>
      </c>
      <c r="C4" s="38"/>
      <c r="D4" s="38"/>
      <c r="E4" s="38"/>
      <c r="F4" s="38"/>
      <c r="G4" s="707"/>
      <c r="H4" s="38">
        <v>2013</v>
      </c>
      <c r="I4" s="39">
        <v>2015</v>
      </c>
      <c r="J4" s="40">
        <v>2015</v>
      </c>
      <c r="K4" s="38">
        <v>2014</v>
      </c>
      <c r="L4" s="38">
        <v>2014</v>
      </c>
      <c r="M4" s="38">
        <v>2015</v>
      </c>
      <c r="N4" s="38"/>
      <c r="O4" s="38"/>
      <c r="P4" s="38"/>
      <c r="Q4" s="38"/>
      <c r="R4" s="38"/>
      <c r="S4" s="38"/>
      <c r="T4" s="38"/>
      <c r="U4" s="38"/>
      <c r="V4" s="38"/>
      <c r="W4" s="38"/>
      <c r="X4" s="38"/>
      <c r="Y4" s="38"/>
      <c r="Z4" s="38"/>
      <c r="AA4" s="38"/>
      <c r="AB4" s="38"/>
      <c r="AC4" s="38"/>
    </row>
    <row r="5" spans="1:29" ht="16.5" x14ac:dyDescent="0.25">
      <c r="A5" s="16">
        <v>1</v>
      </c>
      <c r="B5" s="42" t="s">
        <v>41</v>
      </c>
      <c r="C5" s="42">
        <v>0</v>
      </c>
      <c r="D5" s="43">
        <v>200000000</v>
      </c>
      <c r="E5" s="44">
        <v>386500000</v>
      </c>
      <c r="F5" s="45">
        <v>229000000</v>
      </c>
      <c r="G5" s="776">
        <f>'32 Cadre L ogiqueBfssam 1er'!$G$51</f>
        <v>1974000000</v>
      </c>
      <c r="H5" s="45">
        <v>24593600000</v>
      </c>
      <c r="I5" s="43">
        <v>225000000</v>
      </c>
      <c r="J5" s="46">
        <v>309650000</v>
      </c>
      <c r="K5" s="45">
        <v>45500000</v>
      </c>
      <c r="L5" s="43">
        <v>4895500000</v>
      </c>
      <c r="M5" s="47">
        <v>4459500000</v>
      </c>
      <c r="N5" s="43">
        <v>170800000</v>
      </c>
      <c r="O5" s="48">
        <v>724950000</v>
      </c>
      <c r="P5" s="45">
        <v>1506600000</v>
      </c>
      <c r="Q5" s="49">
        <v>417100000</v>
      </c>
      <c r="R5" s="49">
        <v>158600000</v>
      </c>
      <c r="S5" s="50">
        <v>470750984</v>
      </c>
      <c r="T5" s="45">
        <v>1626600000</v>
      </c>
      <c r="U5" s="45">
        <v>157140000</v>
      </c>
      <c r="V5" s="45">
        <v>165800000</v>
      </c>
      <c r="W5" s="42"/>
      <c r="X5" s="43">
        <v>137350000</v>
      </c>
      <c r="Y5" s="43">
        <v>514100000</v>
      </c>
      <c r="Z5" s="51">
        <v>152700000</v>
      </c>
      <c r="AA5" s="43">
        <v>184940000</v>
      </c>
      <c r="AB5" s="43"/>
      <c r="AC5" s="52">
        <f t="shared" ref="AC5:AC49" si="0">SUM(C5:AB5)</f>
        <v>43705680984</v>
      </c>
    </row>
    <row r="6" spans="1:29" ht="16.5" x14ac:dyDescent="0.25">
      <c r="A6" s="16">
        <f t="shared" ref="A6:A11" si="1">A5+1</f>
        <v>2</v>
      </c>
      <c r="B6" s="42" t="s">
        <v>1</v>
      </c>
      <c r="C6" s="45">
        <v>2764679868</v>
      </c>
      <c r="D6" s="45">
        <v>3534600000</v>
      </c>
      <c r="E6" s="45">
        <v>299630000</v>
      </c>
      <c r="F6" s="45">
        <v>781140000</v>
      </c>
      <c r="G6" s="776">
        <f>'32 Cadre L ogiqueBfssam 1er'!$G$83</f>
        <v>206100000</v>
      </c>
      <c r="H6" s="45">
        <v>179300000</v>
      </c>
      <c r="I6" s="45">
        <v>2079700000</v>
      </c>
      <c r="J6" s="46">
        <v>1674500000</v>
      </c>
      <c r="K6" s="45">
        <v>499000000</v>
      </c>
      <c r="L6" s="45">
        <v>791150000</v>
      </c>
      <c r="M6" s="47">
        <v>551150000</v>
      </c>
      <c r="N6" s="45">
        <v>655375000</v>
      </c>
      <c r="O6" s="48">
        <v>1719700000</v>
      </c>
      <c r="P6" s="45">
        <v>307100000</v>
      </c>
      <c r="Q6" s="48">
        <v>223000000</v>
      </c>
      <c r="R6" s="48">
        <v>146730000</v>
      </c>
      <c r="S6" s="53">
        <v>1223000000</v>
      </c>
      <c r="T6" s="45">
        <v>604600000</v>
      </c>
      <c r="U6" s="45">
        <v>1694864000</v>
      </c>
      <c r="V6" s="45">
        <v>76700000</v>
      </c>
      <c r="W6" s="45">
        <v>69600000</v>
      </c>
      <c r="X6" s="45">
        <v>48800000</v>
      </c>
      <c r="Y6" s="45">
        <v>211950000</v>
      </c>
      <c r="Z6" s="43">
        <v>604020000</v>
      </c>
      <c r="AA6" s="45">
        <v>1081100000</v>
      </c>
      <c r="AB6" s="45">
        <v>1885353700</v>
      </c>
      <c r="AC6" s="52">
        <f t="shared" si="0"/>
        <v>23912842568</v>
      </c>
    </row>
    <row r="7" spans="1:29" ht="16.5" x14ac:dyDescent="0.25">
      <c r="A7" s="16">
        <f t="shared" si="1"/>
        <v>3</v>
      </c>
      <c r="B7" s="42" t="s">
        <v>42</v>
      </c>
      <c r="C7" s="45">
        <v>1217720000</v>
      </c>
      <c r="D7" s="45">
        <v>1153800000</v>
      </c>
      <c r="E7" s="45">
        <v>164000000</v>
      </c>
      <c r="F7" s="45">
        <v>522050000</v>
      </c>
      <c r="G7" s="776">
        <f>'32 Cadre L ogiqueBfssam 1er'!$G$106</f>
        <v>106210000</v>
      </c>
      <c r="H7" s="45">
        <v>143000000</v>
      </c>
      <c r="I7" s="45">
        <v>146700000</v>
      </c>
      <c r="J7" s="46">
        <v>677000000</v>
      </c>
      <c r="K7" s="45">
        <v>465315000</v>
      </c>
      <c r="L7" s="45">
        <v>601000000</v>
      </c>
      <c r="M7" s="47">
        <v>201250000</v>
      </c>
      <c r="N7" s="45">
        <v>23200000</v>
      </c>
      <c r="O7" s="48">
        <v>1005000000</v>
      </c>
      <c r="P7" s="43">
        <v>121650000</v>
      </c>
      <c r="Q7" s="48">
        <v>136000000</v>
      </c>
      <c r="R7" s="48">
        <v>27430000</v>
      </c>
      <c r="S7" s="53">
        <v>170000000</v>
      </c>
      <c r="T7" s="45">
        <v>249500000</v>
      </c>
      <c r="U7" s="45">
        <v>822400000</v>
      </c>
      <c r="V7" s="45">
        <v>57200000</v>
      </c>
      <c r="W7" s="45">
        <v>58820000</v>
      </c>
      <c r="X7" s="45">
        <v>17200000</v>
      </c>
      <c r="Y7" s="45">
        <v>76130000</v>
      </c>
      <c r="Z7" s="43">
        <v>155000000</v>
      </c>
      <c r="AA7" s="45">
        <v>401350000</v>
      </c>
      <c r="AB7" s="43">
        <v>508500000</v>
      </c>
      <c r="AC7" s="52">
        <f t="shared" si="0"/>
        <v>9227425000</v>
      </c>
    </row>
    <row r="8" spans="1:29" ht="16.5" x14ac:dyDescent="0.25">
      <c r="A8" s="16">
        <f t="shared" si="1"/>
        <v>4</v>
      </c>
      <c r="B8" s="42" t="s">
        <v>43</v>
      </c>
      <c r="C8" s="45">
        <v>346821135</v>
      </c>
      <c r="D8" s="45">
        <v>146500000</v>
      </c>
      <c r="E8" s="45">
        <v>1015600000</v>
      </c>
      <c r="F8" s="45">
        <v>490050000</v>
      </c>
      <c r="G8" s="776">
        <f>'32 Cadre L ogiqueBfssam 1er'!$G$142</f>
        <v>635150000</v>
      </c>
      <c r="H8" s="45">
        <v>161978740</v>
      </c>
      <c r="I8" s="45">
        <v>318500000</v>
      </c>
      <c r="J8" s="46">
        <v>331000000</v>
      </c>
      <c r="K8" s="45">
        <v>994900000</v>
      </c>
      <c r="L8" s="45">
        <v>570300000</v>
      </c>
      <c r="M8" s="47">
        <v>266300000</v>
      </c>
      <c r="N8" s="45">
        <v>301050000</v>
      </c>
      <c r="O8" s="48">
        <v>739000000</v>
      </c>
      <c r="P8" s="43">
        <v>150878000</v>
      </c>
      <c r="Q8" s="48">
        <v>94500000</v>
      </c>
      <c r="R8" s="48">
        <v>329560000</v>
      </c>
      <c r="S8" s="53">
        <v>532000000</v>
      </c>
      <c r="T8" s="45">
        <v>218980000</v>
      </c>
      <c r="U8" s="45">
        <v>1011515390</v>
      </c>
      <c r="V8" s="45">
        <v>154550000</v>
      </c>
      <c r="W8" s="45">
        <v>134700000</v>
      </c>
      <c r="X8" s="45">
        <v>1394129600</v>
      </c>
      <c r="Y8" s="45">
        <v>801800000</v>
      </c>
      <c r="Z8" s="43">
        <v>333000000</v>
      </c>
      <c r="AA8" s="45">
        <v>1337540000</v>
      </c>
      <c r="AB8" s="43">
        <v>2022200000</v>
      </c>
      <c r="AC8" s="52">
        <f t="shared" si="0"/>
        <v>14832502865</v>
      </c>
    </row>
    <row r="9" spans="1:29" ht="16.5" x14ac:dyDescent="0.25">
      <c r="A9" s="16">
        <f t="shared" si="1"/>
        <v>5</v>
      </c>
      <c r="B9" s="42" t="s">
        <v>16</v>
      </c>
      <c r="C9" s="45">
        <v>2880524120</v>
      </c>
      <c r="D9" s="43">
        <v>4151562000</v>
      </c>
      <c r="E9" s="45">
        <v>1954630000</v>
      </c>
      <c r="F9" s="45">
        <v>1180560000</v>
      </c>
      <c r="G9" s="776">
        <f>'32 Cadre L ogiqueBfssam 1er'!$G$298</f>
        <v>1070520000</v>
      </c>
      <c r="H9" s="45">
        <v>1148716800</v>
      </c>
      <c r="I9" s="43">
        <v>1112000000</v>
      </c>
      <c r="J9" s="46">
        <v>739660000</v>
      </c>
      <c r="K9" s="43">
        <v>130356192000</v>
      </c>
      <c r="L9" s="43">
        <v>988875000</v>
      </c>
      <c r="M9" s="47">
        <v>688975000</v>
      </c>
      <c r="N9" s="43">
        <v>1075000000</v>
      </c>
      <c r="O9" s="49">
        <v>3385000000</v>
      </c>
      <c r="P9" s="43">
        <v>447002000</v>
      </c>
      <c r="Q9" s="49">
        <v>190200000</v>
      </c>
      <c r="R9" s="49">
        <v>1295390000</v>
      </c>
      <c r="S9" s="53">
        <v>2305865</v>
      </c>
      <c r="T9" s="45">
        <v>1478500000</v>
      </c>
      <c r="U9" s="43">
        <v>1797761420</v>
      </c>
      <c r="V9" s="43">
        <v>292579000</v>
      </c>
      <c r="W9" s="43">
        <v>491500000</v>
      </c>
      <c r="X9" s="43">
        <v>1111000000</v>
      </c>
      <c r="Y9" s="43">
        <v>713940000</v>
      </c>
      <c r="Z9" s="43">
        <v>2329470000</v>
      </c>
      <c r="AA9" s="43">
        <v>3913204000</v>
      </c>
      <c r="AB9" s="43">
        <v>3832770800</v>
      </c>
      <c r="AC9" s="52">
        <f t="shared" si="0"/>
        <v>168627838005</v>
      </c>
    </row>
    <row r="10" spans="1:29" ht="16.5" x14ac:dyDescent="0.25">
      <c r="A10" s="16">
        <f t="shared" si="1"/>
        <v>6</v>
      </c>
      <c r="B10" s="42" t="s">
        <v>29</v>
      </c>
      <c r="C10" s="45">
        <v>568777521</v>
      </c>
      <c r="D10" s="45">
        <v>3444750000</v>
      </c>
      <c r="E10" s="45">
        <v>2981775000</v>
      </c>
      <c r="F10" s="45">
        <v>878600000</v>
      </c>
      <c r="G10" s="776">
        <f>'32 Cadre L ogiqueBfssam 1er'!$G$521</f>
        <v>1151840000</v>
      </c>
      <c r="H10" s="45">
        <v>2579658400</v>
      </c>
      <c r="I10" s="45">
        <v>357800000</v>
      </c>
      <c r="J10" s="46">
        <v>1508600000</v>
      </c>
      <c r="K10" s="45">
        <v>1181636000</v>
      </c>
      <c r="L10" s="45">
        <v>861500000</v>
      </c>
      <c r="M10" s="47">
        <v>661500000</v>
      </c>
      <c r="N10" s="45">
        <v>552200000</v>
      </c>
      <c r="O10" s="48">
        <v>11761500000</v>
      </c>
      <c r="P10" s="45">
        <v>1442000000</v>
      </c>
      <c r="Q10" s="48">
        <v>129000000</v>
      </c>
      <c r="R10" s="48">
        <v>1212200000</v>
      </c>
      <c r="S10" s="54">
        <v>201600000</v>
      </c>
      <c r="T10" s="45">
        <v>650560000</v>
      </c>
      <c r="U10" s="45">
        <v>1561138000</v>
      </c>
      <c r="V10" s="45">
        <v>197020000</v>
      </c>
      <c r="W10" s="45">
        <v>353540000</v>
      </c>
      <c r="X10" s="45">
        <v>3294250000</v>
      </c>
      <c r="Y10" s="45">
        <v>873490000</v>
      </c>
      <c r="Z10" s="43">
        <v>1231940000</v>
      </c>
      <c r="AA10" s="45">
        <v>572680000</v>
      </c>
      <c r="AB10" s="45">
        <v>2469426000</v>
      </c>
      <c r="AC10" s="52">
        <f t="shared" si="0"/>
        <v>42678980921</v>
      </c>
    </row>
    <row r="11" spans="1:29" ht="16.5" x14ac:dyDescent="0.25">
      <c r="A11" s="16">
        <f t="shared" si="1"/>
        <v>7</v>
      </c>
      <c r="B11" s="42" t="s">
        <v>15</v>
      </c>
      <c r="C11" s="45">
        <v>730798864</v>
      </c>
      <c r="D11" s="45"/>
      <c r="E11" s="45">
        <v>25877750000</v>
      </c>
      <c r="F11" s="45">
        <v>20510800000</v>
      </c>
      <c r="G11" s="776">
        <f>'32 Cadre L ogiqueBfssam 1er'!$G$199</f>
        <v>7987750000</v>
      </c>
      <c r="H11" s="45">
        <v>4599100000</v>
      </c>
      <c r="I11" s="45">
        <v>2190000000</v>
      </c>
      <c r="J11" s="55">
        <v>5177400000</v>
      </c>
      <c r="K11" s="45">
        <v>610000000</v>
      </c>
      <c r="L11" s="45">
        <v>1375866000</v>
      </c>
      <c r="M11" s="47">
        <v>1233666000</v>
      </c>
      <c r="N11" s="45">
        <v>2185600000</v>
      </c>
      <c r="O11" s="48">
        <v>19670200000</v>
      </c>
      <c r="P11" s="45">
        <v>2266500000</v>
      </c>
      <c r="Q11" s="48">
        <v>671595295</v>
      </c>
      <c r="R11" s="48">
        <v>1750900000</v>
      </c>
      <c r="S11" s="53">
        <v>81201083</v>
      </c>
      <c r="T11" s="45">
        <v>2298000000</v>
      </c>
      <c r="U11" s="45">
        <v>11833900026</v>
      </c>
      <c r="V11" s="45">
        <v>583900000</v>
      </c>
      <c r="W11" s="45">
        <v>875000000</v>
      </c>
      <c r="X11" s="45">
        <v>429500000</v>
      </c>
      <c r="Y11" s="45">
        <v>1178140000</v>
      </c>
      <c r="Z11" s="43">
        <v>493500000</v>
      </c>
      <c r="AA11" s="45">
        <v>403250000</v>
      </c>
      <c r="AB11" s="45">
        <v>3988390000</v>
      </c>
      <c r="AC11" s="52">
        <f t="shared" si="0"/>
        <v>119002707268</v>
      </c>
    </row>
    <row r="12" spans="1:29" ht="16.5" x14ac:dyDescent="0.25">
      <c r="A12" s="16">
        <v>1</v>
      </c>
      <c r="B12" s="42" t="s">
        <v>44</v>
      </c>
      <c r="C12" s="45">
        <v>90070000</v>
      </c>
      <c r="D12" s="45">
        <v>210250000</v>
      </c>
      <c r="E12" s="45">
        <v>661400000</v>
      </c>
      <c r="F12" s="45">
        <v>214000000</v>
      </c>
      <c r="G12" s="776">
        <f>'32 Cadre L ogiqueBfssam 1er'!$G$821</f>
        <v>247060000</v>
      </c>
      <c r="H12" s="45">
        <v>206800000</v>
      </c>
      <c r="I12" s="45">
        <v>177500000</v>
      </c>
      <c r="J12" s="46">
        <v>419000000</v>
      </c>
      <c r="K12" s="45">
        <v>319240000</v>
      </c>
      <c r="L12" s="45">
        <v>547000000</v>
      </c>
      <c r="M12" s="47">
        <v>170000000</v>
      </c>
      <c r="N12" s="45">
        <v>169800000</v>
      </c>
      <c r="O12" s="48">
        <v>1180000000</v>
      </c>
      <c r="P12" s="45">
        <v>203700000</v>
      </c>
      <c r="Q12" s="48">
        <v>295000000</v>
      </c>
      <c r="R12" s="48">
        <v>329400000</v>
      </c>
      <c r="S12" s="53">
        <v>204000000</v>
      </c>
      <c r="T12" s="45">
        <v>111500000</v>
      </c>
      <c r="U12" s="45">
        <v>90070000</v>
      </c>
      <c r="V12" s="45">
        <v>244300000</v>
      </c>
      <c r="W12" s="45">
        <v>117500000</v>
      </c>
      <c r="X12" s="45">
        <v>1650400000</v>
      </c>
      <c r="Y12" s="45">
        <v>89600000</v>
      </c>
      <c r="Z12" s="56">
        <v>139800000</v>
      </c>
      <c r="AA12" s="45">
        <v>117500000</v>
      </c>
      <c r="AB12" s="45">
        <v>393475000</v>
      </c>
      <c r="AC12" s="52">
        <f t="shared" si="0"/>
        <v>8598365000</v>
      </c>
    </row>
    <row r="13" spans="1:29" ht="16.5" x14ac:dyDescent="0.25">
      <c r="A13" s="1022">
        <v>9</v>
      </c>
      <c r="B13" s="42" t="s">
        <v>45</v>
      </c>
      <c r="C13" s="43"/>
      <c r="D13" s="43"/>
      <c r="E13" s="43"/>
      <c r="F13" s="43">
        <v>60400000</v>
      </c>
      <c r="G13" s="657"/>
      <c r="H13" s="43"/>
      <c r="I13" s="43"/>
      <c r="J13" s="49">
        <v>0</v>
      </c>
      <c r="K13" s="43"/>
      <c r="L13" s="43"/>
      <c r="M13" s="47">
        <v>0</v>
      </c>
      <c r="N13" s="43"/>
      <c r="O13" s="49"/>
      <c r="P13" s="43"/>
      <c r="Q13" s="49"/>
      <c r="R13" s="49"/>
      <c r="S13" s="53">
        <v>2000000</v>
      </c>
      <c r="T13" s="43"/>
      <c r="U13" s="43">
        <v>45840000</v>
      </c>
      <c r="V13" s="43"/>
      <c r="X13" s="43"/>
      <c r="Y13" s="43"/>
      <c r="Z13" s="43"/>
      <c r="AA13" s="43"/>
      <c r="AC13" s="52">
        <f t="shared" si="0"/>
        <v>108240000</v>
      </c>
    </row>
    <row r="14" spans="1:29" ht="16.5" x14ac:dyDescent="0.25">
      <c r="A14" s="1022"/>
      <c r="B14" s="42" t="s">
        <v>46</v>
      </c>
      <c r="C14" s="43">
        <v>1259677835.2</v>
      </c>
      <c r="D14" s="43">
        <v>769920000</v>
      </c>
      <c r="E14" s="45">
        <v>1672720000</v>
      </c>
      <c r="F14" s="45">
        <v>1241100000</v>
      </c>
      <c r="G14" s="776">
        <f>'32 Cadre L ogiqueBfssam 1er'!$G$454</f>
        <v>1766200000</v>
      </c>
      <c r="H14" s="45">
        <v>445500000</v>
      </c>
      <c r="I14" s="58">
        <v>680629000</v>
      </c>
      <c r="J14" s="46">
        <v>310900000</v>
      </c>
      <c r="K14" s="45">
        <v>352300000</v>
      </c>
      <c r="L14" s="58">
        <v>555000000</v>
      </c>
      <c r="M14" s="47">
        <v>322000000</v>
      </c>
      <c r="N14" s="43">
        <v>713204000</v>
      </c>
      <c r="O14" s="48">
        <v>1000700000</v>
      </c>
      <c r="P14" s="45">
        <v>234160000</v>
      </c>
      <c r="Q14" s="54">
        <v>215000000</v>
      </c>
      <c r="R14" s="49">
        <v>449100000</v>
      </c>
      <c r="S14" s="54">
        <v>810000000</v>
      </c>
      <c r="T14" s="45">
        <v>592600000</v>
      </c>
      <c r="U14" s="45">
        <v>449254362</v>
      </c>
      <c r="V14" s="45">
        <v>588044000</v>
      </c>
      <c r="W14" s="59">
        <v>225600000</v>
      </c>
      <c r="X14" s="43">
        <v>225600000</v>
      </c>
      <c r="Y14" s="58">
        <v>1052800000</v>
      </c>
      <c r="Z14" s="43">
        <v>851640000</v>
      </c>
      <c r="AA14" s="43">
        <v>395140000</v>
      </c>
      <c r="AB14" s="59">
        <v>2160377000</v>
      </c>
      <c r="AC14" s="52">
        <f t="shared" si="0"/>
        <v>19339166197.200001</v>
      </c>
    </row>
    <row r="15" spans="1:29" ht="16.5" x14ac:dyDescent="0.25">
      <c r="A15" s="1022"/>
      <c r="B15" s="42" t="s">
        <v>47</v>
      </c>
      <c r="C15" s="43">
        <v>1889516752.8</v>
      </c>
      <c r="D15" s="43">
        <v>1154880000</v>
      </c>
      <c r="E15" s="45">
        <v>2509080000</v>
      </c>
      <c r="F15" s="45">
        <v>1720500000</v>
      </c>
      <c r="G15" s="776">
        <f>'32 Cadre L ogiqueBfssam 1er'!$G$482</f>
        <v>10038000000</v>
      </c>
      <c r="H15" s="45">
        <v>1892000000</v>
      </c>
      <c r="I15" s="58">
        <v>3160000000</v>
      </c>
      <c r="J15" s="46">
        <v>683850000</v>
      </c>
      <c r="K15" s="45">
        <v>3519600000</v>
      </c>
      <c r="L15" s="58">
        <v>1998000000</v>
      </c>
      <c r="M15" s="47">
        <v>1475000000</v>
      </c>
      <c r="N15" s="43">
        <v>1069806000</v>
      </c>
      <c r="O15" s="48">
        <v>346000000</v>
      </c>
      <c r="P15" s="45">
        <v>351240000</v>
      </c>
      <c r="Q15" s="49">
        <v>237000000</v>
      </c>
      <c r="R15" s="49">
        <v>300000000</v>
      </c>
      <c r="S15" s="54">
        <v>530000000</v>
      </c>
      <c r="T15" s="45">
        <v>758110000</v>
      </c>
      <c r="U15" s="45">
        <v>2410768000</v>
      </c>
      <c r="V15" s="45">
        <v>882066000</v>
      </c>
      <c r="W15" s="60">
        <v>338400000</v>
      </c>
      <c r="X15" s="43">
        <v>338400000</v>
      </c>
      <c r="Y15" s="58">
        <v>1579200000</v>
      </c>
      <c r="Z15" s="43">
        <v>1277460000</v>
      </c>
      <c r="AA15" s="43">
        <v>592710000</v>
      </c>
      <c r="AB15" s="60">
        <v>3240565500</v>
      </c>
      <c r="AC15" s="52">
        <f t="shared" si="0"/>
        <v>44292152252.800003</v>
      </c>
    </row>
    <row r="16" spans="1:29" ht="16.5" x14ac:dyDescent="0.25">
      <c r="A16" s="1022"/>
      <c r="B16" s="42" t="s">
        <v>48</v>
      </c>
      <c r="C16" s="58"/>
      <c r="D16" s="43"/>
      <c r="E16" s="61"/>
      <c r="F16" s="45">
        <v>4400000</v>
      </c>
      <c r="G16" s="656"/>
      <c r="H16" s="45"/>
      <c r="I16" s="43"/>
      <c r="J16" s="49">
        <v>0</v>
      </c>
      <c r="K16" s="45"/>
      <c r="L16" s="43"/>
      <c r="M16" s="47">
        <v>0</v>
      </c>
      <c r="N16" s="43"/>
      <c r="O16" s="48">
        <v>1346700000</v>
      </c>
      <c r="P16" s="45"/>
      <c r="Q16" s="49"/>
      <c r="R16" s="49"/>
      <c r="S16" s="54">
        <v>0</v>
      </c>
      <c r="T16" s="45"/>
      <c r="U16" s="45"/>
      <c r="V16" s="45"/>
      <c r="W16" s="43"/>
      <c r="X16" s="43"/>
      <c r="Y16" s="43"/>
      <c r="Z16" s="58"/>
      <c r="AA16" s="43"/>
      <c r="AB16" s="43"/>
      <c r="AC16" s="52">
        <f t="shared" si="0"/>
        <v>1351100000</v>
      </c>
    </row>
    <row r="17" spans="1:29" ht="16.5" x14ac:dyDescent="0.25">
      <c r="A17" s="16">
        <f>+A13+1</f>
        <v>10</v>
      </c>
      <c r="B17" s="42" t="s">
        <v>18</v>
      </c>
      <c r="C17" s="45">
        <v>122110000</v>
      </c>
      <c r="D17" s="43">
        <v>270000000</v>
      </c>
      <c r="E17" s="45">
        <v>177100000</v>
      </c>
      <c r="F17" s="45">
        <v>97450000</v>
      </c>
      <c r="G17" s="776">
        <f>'32 Cadre L ogiqueBfssam 1er'!$G$396</f>
        <v>28000000</v>
      </c>
      <c r="H17" s="45">
        <v>326700000</v>
      </c>
      <c r="I17" s="43">
        <v>272500000</v>
      </c>
      <c r="J17" s="46">
        <v>133000000</v>
      </c>
      <c r="K17" s="45">
        <v>271500000</v>
      </c>
      <c r="L17" s="43">
        <v>403000000</v>
      </c>
      <c r="M17" s="47">
        <v>94500000</v>
      </c>
      <c r="N17" s="43">
        <v>128500000</v>
      </c>
      <c r="O17" s="48">
        <v>327000000</v>
      </c>
      <c r="P17" s="45">
        <v>90000000</v>
      </c>
      <c r="Q17" s="49">
        <v>154000000</v>
      </c>
      <c r="R17" s="49">
        <v>63480000</v>
      </c>
      <c r="S17" s="53">
        <v>168000000</v>
      </c>
      <c r="T17" s="45">
        <v>106200000</v>
      </c>
      <c r="U17" s="45">
        <v>231660000</v>
      </c>
      <c r="V17" s="45">
        <v>14750000</v>
      </c>
      <c r="W17" s="45">
        <v>21600011</v>
      </c>
      <c r="X17" s="43">
        <v>21500000</v>
      </c>
      <c r="Y17" s="43">
        <v>1670000</v>
      </c>
      <c r="Z17" s="43">
        <v>16500000</v>
      </c>
      <c r="AA17" s="43">
        <v>367100000</v>
      </c>
      <c r="AB17" s="43">
        <v>141000000</v>
      </c>
      <c r="AC17" s="52">
        <f t="shared" si="0"/>
        <v>4048820011</v>
      </c>
    </row>
    <row r="18" spans="1:29" ht="16.5" x14ac:dyDescent="0.25">
      <c r="A18" s="16">
        <f>A17+1</f>
        <v>11</v>
      </c>
      <c r="B18" s="62" t="s">
        <v>49</v>
      </c>
      <c r="C18" s="45">
        <v>71660000</v>
      </c>
      <c r="D18" s="45">
        <v>128600000</v>
      </c>
      <c r="E18" s="45">
        <v>219860000</v>
      </c>
      <c r="F18" s="45">
        <v>166800000</v>
      </c>
      <c r="G18" s="776">
        <f>'32 Cadre L ogiqueBfssam 1er'!$G$382</f>
        <v>342290000</v>
      </c>
      <c r="H18" s="45">
        <v>65670000</v>
      </c>
      <c r="I18" s="45">
        <v>182200000</v>
      </c>
      <c r="J18" s="46">
        <v>139000000</v>
      </c>
      <c r="K18" s="45">
        <v>311000000</v>
      </c>
      <c r="L18" s="45">
        <v>760558000</v>
      </c>
      <c r="M18" s="47">
        <v>76000000</v>
      </c>
      <c r="N18" s="45">
        <v>158200000</v>
      </c>
      <c r="O18" s="48">
        <v>263000000</v>
      </c>
      <c r="P18" s="45">
        <v>164800000</v>
      </c>
      <c r="Q18" s="48">
        <v>101000000</v>
      </c>
      <c r="R18" s="48">
        <v>41850000</v>
      </c>
      <c r="S18" s="53">
        <v>80000000</v>
      </c>
      <c r="T18" s="45">
        <v>125130000</v>
      </c>
      <c r="U18" s="45">
        <v>200760000</v>
      </c>
      <c r="V18" s="45">
        <v>144500000</v>
      </c>
      <c r="W18" s="45">
        <v>118400000</v>
      </c>
      <c r="X18" s="45">
        <v>3200000</v>
      </c>
      <c r="Y18" s="45">
        <v>137240000</v>
      </c>
      <c r="Z18" s="43">
        <v>119200000</v>
      </c>
      <c r="AA18" s="45">
        <v>179200000</v>
      </c>
      <c r="AB18" s="45">
        <v>198000000</v>
      </c>
      <c r="AC18" s="52">
        <f t="shared" si="0"/>
        <v>4498118000</v>
      </c>
    </row>
    <row r="19" spans="1:29" ht="16.5" x14ac:dyDescent="0.25">
      <c r="A19" s="16">
        <f t="shared" ref="A19:A49" si="2">A18+1</f>
        <v>12</v>
      </c>
      <c r="B19" s="42" t="s">
        <v>6</v>
      </c>
      <c r="C19" s="45">
        <v>668270000</v>
      </c>
      <c r="D19" s="45">
        <v>430000000</v>
      </c>
      <c r="E19" s="45">
        <v>242050000</v>
      </c>
      <c r="F19" s="45">
        <v>405500000</v>
      </c>
      <c r="G19" s="776">
        <f>'32 Cadre L ogiqueBfssam 1er'!$G$340</f>
        <v>277600000</v>
      </c>
      <c r="H19" s="45">
        <v>352471680</v>
      </c>
      <c r="I19" s="45">
        <v>514000000</v>
      </c>
      <c r="J19" s="46">
        <v>360000000</v>
      </c>
      <c r="K19" s="45">
        <v>1021250000</v>
      </c>
      <c r="L19" s="45">
        <v>835000000</v>
      </c>
      <c r="M19" s="47">
        <v>311000000</v>
      </c>
      <c r="N19" s="45">
        <v>302000000</v>
      </c>
      <c r="O19" s="48">
        <v>1169000000</v>
      </c>
      <c r="P19" s="45">
        <v>258750000</v>
      </c>
      <c r="Q19" s="48">
        <v>148000000</v>
      </c>
      <c r="R19" s="48">
        <v>520000000</v>
      </c>
      <c r="S19" s="53">
        <v>6250000</v>
      </c>
      <c r="T19" s="45">
        <v>412200000</v>
      </c>
      <c r="U19" s="45">
        <v>609080000</v>
      </c>
      <c r="V19" s="45">
        <v>442000000</v>
      </c>
      <c r="W19" s="45">
        <v>765000000</v>
      </c>
      <c r="X19" s="45">
        <v>300000</v>
      </c>
      <c r="Y19" s="45">
        <v>192700000</v>
      </c>
      <c r="Z19" s="43">
        <v>193100000</v>
      </c>
      <c r="AA19" s="45">
        <v>284200000</v>
      </c>
      <c r="AB19" s="45">
        <v>1410200000</v>
      </c>
      <c r="AC19" s="52">
        <f t="shared" si="0"/>
        <v>12129921680</v>
      </c>
    </row>
    <row r="20" spans="1:29" ht="16.5" x14ac:dyDescent="0.25">
      <c r="A20" s="1023">
        <f t="shared" si="2"/>
        <v>13</v>
      </c>
      <c r="B20" s="62" t="s">
        <v>1819</v>
      </c>
      <c r="C20" s="45">
        <v>925840000</v>
      </c>
      <c r="D20" s="45">
        <v>105250000</v>
      </c>
      <c r="E20" s="44">
        <v>69110000</v>
      </c>
      <c r="F20" s="45">
        <v>77500000</v>
      </c>
      <c r="G20" s="776">
        <f>'32 Cadre L ogiqueBfssam 1er'!$G$862</f>
        <v>55000000</v>
      </c>
      <c r="H20" s="45">
        <v>83600000</v>
      </c>
      <c r="I20" s="45">
        <v>448000000</v>
      </c>
      <c r="J20" s="46">
        <v>250500000</v>
      </c>
      <c r="K20" s="45">
        <v>202500000</v>
      </c>
      <c r="L20" s="45">
        <v>289500000</v>
      </c>
      <c r="M20" s="47">
        <v>69500000</v>
      </c>
      <c r="N20" s="45">
        <v>889200000</v>
      </c>
      <c r="O20" s="48">
        <v>696500000</v>
      </c>
      <c r="P20" s="45">
        <v>18000000</v>
      </c>
      <c r="Q20" s="48">
        <v>6000000</v>
      </c>
      <c r="R20" s="48">
        <v>49000000</v>
      </c>
      <c r="S20" s="53">
        <v>0</v>
      </c>
      <c r="T20" s="45">
        <v>69200000</v>
      </c>
      <c r="U20" s="45">
        <v>452150000</v>
      </c>
      <c r="V20" s="45">
        <v>30100000</v>
      </c>
      <c r="W20" s="45">
        <v>160750000</v>
      </c>
      <c r="X20" s="45">
        <v>11700000</v>
      </c>
      <c r="Y20" s="45">
        <v>7200000</v>
      </c>
      <c r="Z20" s="43">
        <v>90500000</v>
      </c>
      <c r="AA20" s="45">
        <v>46000000</v>
      </c>
      <c r="AB20" s="45">
        <v>366040000</v>
      </c>
      <c r="AC20" s="52">
        <f t="shared" si="0"/>
        <v>5468640000</v>
      </c>
    </row>
    <row r="21" spans="1:29" ht="16.5" x14ac:dyDescent="0.25">
      <c r="A21" s="1024"/>
      <c r="B21" s="62" t="s">
        <v>1834</v>
      </c>
      <c r="C21" s="45"/>
      <c r="D21" s="45"/>
      <c r="E21" s="44"/>
      <c r="F21" s="45"/>
      <c r="G21" s="776">
        <f>'32 Cadre L ogiqueBfssam 1er'!$G$882</f>
        <v>40000000</v>
      </c>
      <c r="H21" s="45"/>
      <c r="I21" s="45"/>
      <c r="J21" s="46"/>
      <c r="K21" s="45"/>
      <c r="L21" s="45"/>
      <c r="M21" s="47"/>
      <c r="N21" s="45"/>
      <c r="O21" s="48"/>
      <c r="P21" s="45"/>
      <c r="Q21" s="48"/>
      <c r="R21" s="48"/>
      <c r="S21" s="53"/>
      <c r="T21" s="45"/>
      <c r="U21" s="45"/>
      <c r="V21" s="45"/>
      <c r="W21" s="45"/>
      <c r="X21" s="45"/>
      <c r="Y21" s="45"/>
      <c r="Z21" s="43"/>
      <c r="AA21" s="45"/>
      <c r="AB21" s="45"/>
      <c r="AC21" s="52"/>
    </row>
    <row r="22" spans="1:29" ht="16.5" x14ac:dyDescent="0.25">
      <c r="A22" s="1025"/>
      <c r="B22" s="62" t="s">
        <v>1725</v>
      </c>
      <c r="C22" s="45"/>
      <c r="D22" s="45"/>
      <c r="E22" s="44"/>
      <c r="F22" s="45"/>
      <c r="G22" s="776">
        <f>'32 Cadre L ogiqueBfssam 1er'!$G$898</f>
        <v>20000000</v>
      </c>
      <c r="H22" s="45"/>
      <c r="I22" s="45"/>
      <c r="J22" s="46"/>
      <c r="K22" s="45"/>
      <c r="L22" s="45"/>
      <c r="M22" s="47"/>
      <c r="N22" s="45"/>
      <c r="O22" s="48"/>
      <c r="P22" s="45"/>
      <c r="Q22" s="48"/>
      <c r="R22" s="48"/>
      <c r="S22" s="53"/>
      <c r="T22" s="45"/>
      <c r="U22" s="45"/>
      <c r="V22" s="45"/>
      <c r="W22" s="45"/>
      <c r="X22" s="45"/>
      <c r="Y22" s="45"/>
      <c r="Z22" s="43"/>
      <c r="AA22" s="45"/>
      <c r="AB22" s="45"/>
      <c r="AC22" s="52"/>
    </row>
    <row r="23" spans="1:29" ht="16.5" x14ac:dyDescent="0.25">
      <c r="A23" s="16">
        <f>A20+1</f>
        <v>14</v>
      </c>
      <c r="B23" s="62" t="s">
        <v>32</v>
      </c>
      <c r="C23" s="45">
        <v>86760000</v>
      </c>
      <c r="D23" s="45">
        <v>40300000</v>
      </c>
      <c r="E23" s="45">
        <v>202600000</v>
      </c>
      <c r="F23" s="45">
        <v>688450000</v>
      </c>
      <c r="G23" s="776">
        <f>'32 Cadre L ogiqueBfssam 1er'!$G$923</f>
        <v>211500000</v>
      </c>
      <c r="H23" s="45">
        <v>1160500000</v>
      </c>
      <c r="I23" s="45">
        <v>2225000000</v>
      </c>
      <c r="J23" s="46">
        <v>1612500000</v>
      </c>
      <c r="K23" s="45">
        <v>125800000</v>
      </c>
      <c r="L23" s="45">
        <v>398000000</v>
      </c>
      <c r="M23" s="47">
        <v>212000000</v>
      </c>
      <c r="N23" s="45">
        <v>378000000</v>
      </c>
      <c r="O23" s="48">
        <v>1707500000</v>
      </c>
      <c r="P23" s="45">
        <v>6000000</v>
      </c>
      <c r="Q23" s="48">
        <v>1000000</v>
      </c>
      <c r="R23" s="48">
        <v>89300000</v>
      </c>
      <c r="S23" s="53">
        <v>0</v>
      </c>
      <c r="T23" s="45">
        <v>283500000</v>
      </c>
      <c r="U23" s="45">
        <v>105900000</v>
      </c>
      <c r="V23" s="45">
        <v>50000000</v>
      </c>
      <c r="W23" s="45">
        <v>51900000</v>
      </c>
      <c r="X23" s="45">
        <v>300000000</v>
      </c>
      <c r="Y23" s="45">
        <v>42200000</v>
      </c>
      <c r="Z23" s="43">
        <v>2057700000</v>
      </c>
      <c r="AA23" s="45">
        <v>347100000</v>
      </c>
      <c r="AB23" s="45">
        <v>210020000</v>
      </c>
      <c r="AC23" s="52">
        <f t="shared" si="0"/>
        <v>12593530000</v>
      </c>
    </row>
    <row r="24" spans="1:29" ht="16.5" x14ac:dyDescent="0.25">
      <c r="A24" s="16">
        <f t="shared" si="2"/>
        <v>15</v>
      </c>
      <c r="B24" s="42" t="s">
        <v>13</v>
      </c>
      <c r="C24" s="45">
        <v>13810000</v>
      </c>
      <c r="D24" s="45">
        <v>1340000000</v>
      </c>
      <c r="E24" s="45">
        <v>145050000</v>
      </c>
      <c r="F24" s="45">
        <v>1318200000</v>
      </c>
      <c r="G24" s="776">
        <f>'32 Cadre L ogiqueBfssam 1er'!$G$597</f>
        <v>442050000</v>
      </c>
      <c r="H24" s="45">
        <v>273900000</v>
      </c>
      <c r="I24" s="45">
        <v>502500000</v>
      </c>
      <c r="J24" s="46">
        <v>285000000</v>
      </c>
      <c r="K24" s="45">
        <v>87500000</v>
      </c>
      <c r="L24" s="45">
        <v>753354000</v>
      </c>
      <c r="M24" s="47">
        <v>422000000</v>
      </c>
      <c r="N24" s="45">
        <v>163000000</v>
      </c>
      <c r="O24" s="48">
        <v>1030000000</v>
      </c>
      <c r="P24" s="45">
        <v>306900000</v>
      </c>
      <c r="Q24" s="48">
        <v>115000000</v>
      </c>
      <c r="R24" s="48">
        <v>351500000</v>
      </c>
      <c r="S24" s="53">
        <v>0</v>
      </c>
      <c r="T24" s="45">
        <v>465400000</v>
      </c>
      <c r="U24" s="45">
        <v>441925000</v>
      </c>
      <c r="V24" s="45">
        <v>167000000</v>
      </c>
      <c r="W24" s="45">
        <v>607000000</v>
      </c>
      <c r="X24" s="45">
        <v>3000000</v>
      </c>
      <c r="Y24" s="45">
        <v>31100000</v>
      </c>
      <c r="Z24" s="43">
        <v>125200000</v>
      </c>
      <c r="AA24" s="45">
        <v>137040000</v>
      </c>
      <c r="AB24" s="45">
        <v>168800000</v>
      </c>
      <c r="AC24" s="52">
        <f t="shared" si="0"/>
        <v>9696229000</v>
      </c>
    </row>
    <row r="25" spans="1:29" ht="16.5" x14ac:dyDescent="0.25">
      <c r="A25" s="16">
        <f t="shared" si="2"/>
        <v>16</v>
      </c>
      <c r="B25" s="42" t="s">
        <v>50</v>
      </c>
      <c r="C25" s="45">
        <v>74470000</v>
      </c>
      <c r="D25" s="45">
        <v>136000000</v>
      </c>
      <c r="E25" s="45">
        <v>11500000</v>
      </c>
      <c r="F25" s="45">
        <v>10000000</v>
      </c>
      <c r="G25" s="776">
        <f>'32 Cadre L ogiqueBfssam 1er'!$G$736</f>
        <v>43400000</v>
      </c>
      <c r="H25" s="45">
        <v>159500000</v>
      </c>
      <c r="I25" s="45">
        <v>152000000</v>
      </c>
      <c r="J25" s="46">
        <v>19000000</v>
      </c>
      <c r="K25" s="45">
        <v>44250000</v>
      </c>
      <c r="L25" s="45">
        <v>342000000</v>
      </c>
      <c r="M25" s="47">
        <v>35000000</v>
      </c>
      <c r="N25" s="45">
        <v>8000000</v>
      </c>
      <c r="O25" s="48">
        <v>52000000</v>
      </c>
      <c r="P25" s="45">
        <v>224000000</v>
      </c>
      <c r="Q25" s="48">
        <v>10000000</v>
      </c>
      <c r="R25" s="48">
        <v>100000000</v>
      </c>
      <c r="S25" s="53">
        <v>26250000</v>
      </c>
      <c r="T25" s="45">
        <v>68600000</v>
      </c>
      <c r="U25" s="45">
        <v>29570000</v>
      </c>
      <c r="V25" s="45">
        <v>8200000</v>
      </c>
      <c r="W25" s="45">
        <v>65250000</v>
      </c>
      <c r="X25" s="45">
        <v>111000000</v>
      </c>
      <c r="Y25" s="45">
        <v>27100000</v>
      </c>
      <c r="Z25" s="43">
        <v>49000000</v>
      </c>
      <c r="AA25" s="45">
        <v>115250000</v>
      </c>
      <c r="AB25" s="45">
        <v>35000000</v>
      </c>
      <c r="AC25" s="52">
        <f t="shared" si="0"/>
        <v>1956340000</v>
      </c>
    </row>
    <row r="26" spans="1:29" ht="16.5" x14ac:dyDescent="0.25">
      <c r="A26" s="16">
        <f t="shared" si="2"/>
        <v>17</v>
      </c>
      <c r="B26" s="42" t="s">
        <v>19</v>
      </c>
      <c r="C26" s="45">
        <v>306294058</v>
      </c>
      <c r="D26" s="45">
        <v>3000000</v>
      </c>
      <c r="E26" s="45">
        <v>735000000</v>
      </c>
      <c r="F26" s="45">
        <v>1107000000</v>
      </c>
      <c r="G26" s="776">
        <f>'32 Cadre L ogiqueBfssam 1er'!$G$785</f>
        <v>440500000</v>
      </c>
      <c r="H26" s="45">
        <v>431200000</v>
      </c>
      <c r="I26" s="45">
        <v>95000000</v>
      </c>
      <c r="J26" s="46">
        <v>800000000</v>
      </c>
      <c r="K26" s="45">
        <v>633700000</v>
      </c>
      <c r="L26" s="45">
        <v>342000000</v>
      </c>
      <c r="M26" s="47">
        <v>44000000</v>
      </c>
      <c r="N26" s="45">
        <v>277664500</v>
      </c>
      <c r="O26" s="48">
        <v>5835700000</v>
      </c>
      <c r="P26" s="45">
        <v>85200000</v>
      </c>
      <c r="Q26" s="48">
        <v>43000000</v>
      </c>
      <c r="R26" s="48">
        <v>885300000</v>
      </c>
      <c r="S26" s="53">
        <v>209400000</v>
      </c>
      <c r="T26" s="45">
        <v>95000000</v>
      </c>
      <c r="U26" s="45">
        <v>255719540</v>
      </c>
      <c r="V26" s="45">
        <v>6500000</v>
      </c>
      <c r="W26" s="45">
        <v>1266200000</v>
      </c>
      <c r="X26" s="45">
        <v>200000</v>
      </c>
      <c r="Y26" s="45">
        <v>1043200000</v>
      </c>
      <c r="Z26" s="43">
        <v>356000000</v>
      </c>
      <c r="AA26" s="45">
        <v>946300000</v>
      </c>
      <c r="AB26" s="45">
        <v>729125000</v>
      </c>
      <c r="AC26" s="52">
        <f t="shared" si="0"/>
        <v>16972203098</v>
      </c>
    </row>
    <row r="27" spans="1:29" ht="16.5" x14ac:dyDescent="0.25">
      <c r="A27" s="16">
        <f t="shared" si="2"/>
        <v>18</v>
      </c>
      <c r="B27" s="42" t="s">
        <v>33</v>
      </c>
      <c r="C27" s="45">
        <v>56450000</v>
      </c>
      <c r="D27" s="45">
        <v>7250000</v>
      </c>
      <c r="E27" s="45">
        <v>55500000</v>
      </c>
      <c r="F27" s="45">
        <v>36000000</v>
      </c>
      <c r="G27" s="776">
        <f>'32 Cadre L ogiqueBfssam 1er'!$G$971</f>
        <v>38550000</v>
      </c>
      <c r="H27" s="45">
        <v>1138500000</v>
      </c>
      <c r="I27" s="45">
        <v>171000000</v>
      </c>
      <c r="J27" s="46">
        <v>229500000</v>
      </c>
      <c r="K27" s="45">
        <v>157600000</v>
      </c>
      <c r="L27" s="45">
        <v>543000000</v>
      </c>
      <c r="M27" s="47">
        <v>24000000</v>
      </c>
      <c r="N27" s="45">
        <v>3200000</v>
      </c>
      <c r="O27" s="48">
        <v>963000000</v>
      </c>
      <c r="P27" s="45">
        <v>4250000</v>
      </c>
      <c r="Q27" s="48">
        <v>13000000</v>
      </c>
      <c r="R27" s="48">
        <v>2100000</v>
      </c>
      <c r="S27" s="53">
        <v>215000000</v>
      </c>
      <c r="T27" s="45">
        <v>115000000</v>
      </c>
      <c r="U27" s="45">
        <v>54750000</v>
      </c>
      <c r="V27" s="45">
        <v>4100000</v>
      </c>
      <c r="W27" s="45">
        <v>27000000</v>
      </c>
      <c r="X27" s="45">
        <v>800600000</v>
      </c>
      <c r="Y27" s="45">
        <v>45600000</v>
      </c>
      <c r="Z27" s="43">
        <v>50800000</v>
      </c>
      <c r="AA27" s="45">
        <v>79400000</v>
      </c>
      <c r="AB27" s="45">
        <v>509600000</v>
      </c>
      <c r="AC27" s="52">
        <f t="shared" si="0"/>
        <v>5344750000</v>
      </c>
    </row>
    <row r="28" spans="1:29" ht="16.5" x14ac:dyDescent="0.25">
      <c r="A28" s="16">
        <f t="shared" si="2"/>
        <v>19</v>
      </c>
      <c r="B28" s="42" t="s">
        <v>51</v>
      </c>
      <c r="C28" s="45">
        <v>33320000</v>
      </c>
      <c r="D28" s="45">
        <v>50000000</v>
      </c>
      <c r="E28" s="45">
        <v>120000000</v>
      </c>
      <c r="F28" s="45">
        <v>344020000</v>
      </c>
      <c r="G28" s="776">
        <f>'32 Cadre L ogiqueBfssam 1er'!$G$948</f>
        <v>320060000</v>
      </c>
      <c r="H28" s="45">
        <v>99880000</v>
      </c>
      <c r="I28" s="45">
        <v>151130000</v>
      </c>
      <c r="J28" s="46">
        <v>334100000</v>
      </c>
      <c r="K28" s="45">
        <v>313150000</v>
      </c>
      <c r="L28" s="45">
        <v>965000000</v>
      </c>
      <c r="M28" s="47">
        <v>74015000</v>
      </c>
      <c r="N28" s="45">
        <v>95000000</v>
      </c>
      <c r="O28" s="48">
        <v>276510000</v>
      </c>
      <c r="P28" s="45">
        <v>87900000</v>
      </c>
      <c r="Q28" s="48">
        <v>93030000</v>
      </c>
      <c r="R28" s="48">
        <v>3250000</v>
      </c>
      <c r="S28" s="53">
        <v>2000000</v>
      </c>
      <c r="T28" s="45">
        <v>141250000</v>
      </c>
      <c r="U28" s="45">
        <v>48250000</v>
      </c>
      <c r="V28" s="45">
        <v>34550000</v>
      </c>
      <c r="W28" s="45">
        <v>218250000</v>
      </c>
      <c r="X28" s="45">
        <v>200000</v>
      </c>
      <c r="Y28" s="45">
        <v>3040000</v>
      </c>
      <c r="Z28" s="43">
        <v>18500000</v>
      </c>
      <c r="AA28" s="45">
        <v>90250000</v>
      </c>
      <c r="AB28" s="45">
        <v>329200000</v>
      </c>
      <c r="AC28" s="52">
        <f t="shared" si="0"/>
        <v>4245855000</v>
      </c>
    </row>
    <row r="29" spans="1:29" ht="16.5" x14ac:dyDescent="0.25">
      <c r="A29" s="16">
        <f t="shared" si="2"/>
        <v>20</v>
      </c>
      <c r="B29" s="62" t="s">
        <v>96</v>
      </c>
      <c r="C29" s="45">
        <v>158230000</v>
      </c>
      <c r="D29" s="45">
        <v>65000000</v>
      </c>
      <c r="E29" s="45">
        <v>270650000</v>
      </c>
      <c r="F29" s="45">
        <v>135170000</v>
      </c>
      <c r="G29" s="776">
        <f>'32 Cadre L ogiqueBfssam 1er'!$G$1024</f>
        <v>307660000</v>
      </c>
      <c r="H29" s="45">
        <v>99000000</v>
      </c>
      <c r="I29" s="45">
        <v>124000000</v>
      </c>
      <c r="J29" s="46">
        <v>658648000</v>
      </c>
      <c r="K29" s="45">
        <v>236200000</v>
      </c>
      <c r="L29" s="45">
        <v>542000000</v>
      </c>
      <c r="M29" s="47">
        <v>48000000</v>
      </c>
      <c r="N29" s="45">
        <v>276000000</v>
      </c>
      <c r="O29" s="48">
        <v>335350000</v>
      </c>
      <c r="P29" s="43">
        <v>72300000</v>
      </c>
      <c r="Q29" s="48">
        <v>2000000</v>
      </c>
      <c r="R29" s="48">
        <v>107600000</v>
      </c>
      <c r="S29" s="53">
        <v>0</v>
      </c>
      <c r="T29" s="45">
        <v>70200000</v>
      </c>
      <c r="U29" s="45">
        <v>307190000</v>
      </c>
      <c r="V29" s="45">
        <v>276000000</v>
      </c>
      <c r="W29" s="45">
        <v>298000000</v>
      </c>
      <c r="X29" s="45">
        <v>50700000</v>
      </c>
      <c r="Y29" s="45">
        <v>404700000</v>
      </c>
      <c r="Z29" s="43">
        <v>17000000</v>
      </c>
      <c r="AA29" s="45">
        <v>415900000</v>
      </c>
      <c r="AB29" s="45">
        <v>742500000</v>
      </c>
      <c r="AC29" s="52">
        <f t="shared" si="0"/>
        <v>6019998000</v>
      </c>
    </row>
    <row r="30" spans="1:29" ht="16.5" x14ac:dyDescent="0.25">
      <c r="A30" s="16">
        <f t="shared" si="2"/>
        <v>21</v>
      </c>
      <c r="B30" s="62" t="s">
        <v>68</v>
      </c>
      <c r="C30" s="45"/>
      <c r="D30" s="45"/>
      <c r="E30" s="45"/>
      <c r="F30" s="45"/>
      <c r="G30" s="776">
        <f>'32 Cadre L ogiqueBfssam 1er'!$G$1036</f>
        <v>40050000</v>
      </c>
      <c r="H30" s="45"/>
      <c r="I30" s="43"/>
      <c r="J30" s="49">
        <v>0</v>
      </c>
      <c r="K30" s="45"/>
      <c r="L30" s="43"/>
      <c r="M30" s="47">
        <v>178600000</v>
      </c>
      <c r="N30" s="45"/>
      <c r="O30" s="48">
        <v>172800000</v>
      </c>
      <c r="P30" s="43"/>
      <c r="Q30" s="49">
        <v>0</v>
      </c>
      <c r="R30" s="49">
        <v>10000000</v>
      </c>
      <c r="S30" s="53">
        <v>0</v>
      </c>
      <c r="T30" s="45"/>
      <c r="U30" s="45"/>
      <c r="V30" s="45"/>
      <c r="W30" s="45"/>
      <c r="X30" s="45"/>
      <c r="Y30" s="45"/>
      <c r="Z30" s="43"/>
      <c r="AA30" s="45"/>
      <c r="AB30" s="45"/>
      <c r="AC30" s="52">
        <f t="shared" si="0"/>
        <v>401450000</v>
      </c>
    </row>
    <row r="31" spans="1:29" ht="16.5" x14ac:dyDescent="0.25">
      <c r="A31" s="16">
        <f t="shared" si="2"/>
        <v>22</v>
      </c>
      <c r="B31" s="42" t="s">
        <v>14</v>
      </c>
      <c r="C31" s="45">
        <v>13810000</v>
      </c>
      <c r="D31" s="43">
        <v>159400000</v>
      </c>
      <c r="E31" s="45">
        <v>317435000</v>
      </c>
      <c r="F31" s="45">
        <v>86500000</v>
      </c>
      <c r="G31" s="776">
        <f>'32 Cadre L ogiqueBfssam 1er'!$G$622</f>
        <v>40000000</v>
      </c>
      <c r="H31" s="45">
        <v>56150000</v>
      </c>
      <c r="I31" s="45">
        <v>95500000</v>
      </c>
      <c r="J31" s="46">
        <v>158500000</v>
      </c>
      <c r="K31" s="45">
        <v>56000000</v>
      </c>
      <c r="L31" s="45">
        <v>134000000</v>
      </c>
      <c r="M31" s="47">
        <v>177800000</v>
      </c>
      <c r="N31" s="43">
        <v>59500000</v>
      </c>
      <c r="O31" s="48">
        <v>249250000</v>
      </c>
      <c r="P31" s="45">
        <v>52800000</v>
      </c>
      <c r="Q31" s="48">
        <v>103000000</v>
      </c>
      <c r="R31" s="48">
        <v>253900000</v>
      </c>
      <c r="S31" s="53">
        <v>190250000</v>
      </c>
      <c r="T31" s="45">
        <v>29500000</v>
      </c>
      <c r="U31" s="45">
        <v>39760000</v>
      </c>
      <c r="V31" s="45">
        <v>23400000</v>
      </c>
      <c r="W31" s="45">
        <v>31320000</v>
      </c>
      <c r="X31" s="43">
        <v>2600000</v>
      </c>
      <c r="Y31" s="43">
        <v>65430000</v>
      </c>
      <c r="Z31" s="43">
        <v>14000000</v>
      </c>
      <c r="AA31" s="43">
        <v>89800000</v>
      </c>
      <c r="AB31" s="43">
        <v>84600000</v>
      </c>
      <c r="AC31" s="52">
        <f t="shared" si="0"/>
        <v>2584205000</v>
      </c>
    </row>
    <row r="32" spans="1:29" ht="16.5" x14ac:dyDescent="0.25">
      <c r="A32" s="16">
        <f t="shared" si="2"/>
        <v>23</v>
      </c>
      <c r="B32" s="62" t="s">
        <v>30</v>
      </c>
      <c r="C32" s="45">
        <v>43890000</v>
      </c>
      <c r="D32" s="45">
        <v>62000000</v>
      </c>
      <c r="E32" s="45">
        <v>300900000</v>
      </c>
      <c r="F32" s="45">
        <v>122150000</v>
      </c>
      <c r="G32" s="776">
        <f>'32 Cadre L ogiqueBfssam 1er'!$G$682</f>
        <v>441300000</v>
      </c>
      <c r="H32" s="45">
        <v>1111550000</v>
      </c>
      <c r="I32" s="45">
        <v>112500000</v>
      </c>
      <c r="J32" s="46">
        <v>143000000</v>
      </c>
      <c r="K32" s="45">
        <v>132300000</v>
      </c>
      <c r="L32" s="45">
        <v>657000000</v>
      </c>
      <c r="M32" s="47">
        <v>1825000000</v>
      </c>
      <c r="N32" s="45">
        <v>28900000</v>
      </c>
      <c r="O32" s="48">
        <v>5382000000</v>
      </c>
      <c r="P32" s="45">
        <v>36000000</v>
      </c>
      <c r="Q32" s="48">
        <v>197000000</v>
      </c>
      <c r="R32" s="48">
        <v>197862677</v>
      </c>
      <c r="S32" s="53">
        <v>800000</v>
      </c>
      <c r="T32" s="45">
        <v>611500000</v>
      </c>
      <c r="U32" s="45">
        <v>27860000</v>
      </c>
      <c r="V32" s="45">
        <v>26000000</v>
      </c>
      <c r="W32" s="45">
        <v>315500000</v>
      </c>
      <c r="X32" s="45">
        <v>102600000</v>
      </c>
      <c r="Y32" s="45">
        <v>52600000</v>
      </c>
      <c r="Z32" s="63">
        <v>651500000</v>
      </c>
      <c r="AA32" s="45">
        <v>266700000</v>
      </c>
      <c r="AB32" s="45">
        <v>116000000</v>
      </c>
      <c r="AC32" s="52">
        <f t="shared" si="0"/>
        <v>12964412677</v>
      </c>
    </row>
    <row r="33" spans="1:29" ht="16.5" x14ac:dyDescent="0.25">
      <c r="A33" s="16">
        <f t="shared" si="2"/>
        <v>24</v>
      </c>
      <c r="B33" s="62" t="s">
        <v>31</v>
      </c>
      <c r="C33" s="45">
        <v>750600000</v>
      </c>
      <c r="D33" s="45">
        <v>57000000</v>
      </c>
      <c r="E33" s="45">
        <v>8063000000</v>
      </c>
      <c r="F33" s="45">
        <v>544500000</v>
      </c>
      <c r="G33" s="776">
        <f>'32 Cadre L ogiqueBfssam 1er'!$G$718</f>
        <v>7627900000</v>
      </c>
      <c r="H33" s="45">
        <v>85800000</v>
      </c>
      <c r="I33" s="45">
        <v>214100000</v>
      </c>
      <c r="J33" s="46">
        <v>8475500000</v>
      </c>
      <c r="K33" s="45">
        <v>188000000</v>
      </c>
      <c r="L33" s="45">
        <v>670000000</v>
      </c>
      <c r="M33" s="47">
        <v>500000000</v>
      </c>
      <c r="N33" s="45">
        <v>540000000</v>
      </c>
      <c r="O33" s="48">
        <v>1818000000</v>
      </c>
      <c r="P33" s="45">
        <v>1422000000</v>
      </c>
      <c r="Q33" s="48">
        <v>752000000</v>
      </c>
      <c r="R33" s="48">
        <v>157750000</v>
      </c>
      <c r="S33" s="53">
        <v>2242750000</v>
      </c>
      <c r="T33" s="45">
        <v>982000000</v>
      </c>
      <c r="U33" s="45">
        <v>709400000</v>
      </c>
      <c r="V33" s="45">
        <v>577100000</v>
      </c>
      <c r="W33" s="45">
        <v>674000000</v>
      </c>
      <c r="X33" s="45">
        <v>67335528</v>
      </c>
      <c r="Y33" s="45">
        <v>22150000</v>
      </c>
      <c r="Z33" s="43">
        <v>41000000</v>
      </c>
      <c r="AA33" s="45">
        <v>57500000</v>
      </c>
      <c r="AB33" s="45">
        <v>1126850000</v>
      </c>
      <c r="AC33" s="52">
        <f t="shared" si="0"/>
        <v>38366235528</v>
      </c>
    </row>
    <row r="34" spans="1:29" ht="16.5" x14ac:dyDescent="0.25">
      <c r="A34" s="16">
        <f t="shared" si="2"/>
        <v>25</v>
      </c>
      <c r="B34" s="62" t="s">
        <v>52</v>
      </c>
      <c r="C34" s="45">
        <v>496245560</v>
      </c>
      <c r="D34" s="45">
        <v>403500000</v>
      </c>
      <c r="E34" s="45">
        <v>1219000000</v>
      </c>
      <c r="F34" s="45">
        <v>872000000</v>
      </c>
      <c r="G34" s="776">
        <f>'32 Cadre L ogiqueBfssam 1er'!$G$553</f>
        <v>1115020000</v>
      </c>
      <c r="H34" s="45">
        <v>871200000</v>
      </c>
      <c r="I34" s="45">
        <v>448000000</v>
      </c>
      <c r="J34" s="46">
        <v>950000000</v>
      </c>
      <c r="K34" s="45">
        <v>542630000</v>
      </c>
      <c r="L34" s="45">
        <v>765000000</v>
      </c>
      <c r="M34" s="47">
        <v>17400000</v>
      </c>
      <c r="N34" s="45">
        <v>198500000</v>
      </c>
      <c r="O34" s="48">
        <v>45000000</v>
      </c>
      <c r="P34" s="45">
        <v>211600000</v>
      </c>
      <c r="Q34" s="48">
        <v>226000000</v>
      </c>
      <c r="R34" s="48">
        <v>5400000</v>
      </c>
      <c r="S34" s="53">
        <v>110000000</v>
      </c>
      <c r="T34" s="45">
        <v>199000000</v>
      </c>
      <c r="U34" s="45">
        <v>82800000</v>
      </c>
      <c r="V34" s="45">
        <v>174900000</v>
      </c>
      <c r="W34" s="45">
        <v>22220000</v>
      </c>
      <c r="X34" s="45">
        <v>275000000</v>
      </c>
      <c r="Y34" s="45">
        <v>82950000</v>
      </c>
      <c r="Z34" s="43">
        <v>90000000</v>
      </c>
      <c r="AA34" s="45">
        <v>278000000</v>
      </c>
      <c r="AB34" s="45">
        <v>93500000</v>
      </c>
      <c r="AC34" s="52">
        <f t="shared" si="0"/>
        <v>9794865560</v>
      </c>
    </row>
    <row r="35" spans="1:29" ht="16.5" x14ac:dyDescent="0.25">
      <c r="A35" s="16">
        <f t="shared" si="2"/>
        <v>26</v>
      </c>
      <c r="B35" s="42" t="s">
        <v>53</v>
      </c>
      <c r="C35" s="45">
        <v>34850000</v>
      </c>
      <c r="D35" s="45">
        <v>3000000</v>
      </c>
      <c r="E35" s="45">
        <v>72240000</v>
      </c>
      <c r="F35" s="45">
        <v>5400000</v>
      </c>
      <c r="G35" s="776">
        <f>'32 Cadre L ogiqueBfssam 1er'!$G$572</f>
        <v>6000000</v>
      </c>
      <c r="H35" s="45">
        <v>27500000</v>
      </c>
      <c r="I35" s="43">
        <v>105500000</v>
      </c>
      <c r="J35" s="46">
        <v>33500000</v>
      </c>
      <c r="K35" s="45">
        <v>16000000</v>
      </c>
      <c r="L35" s="43">
        <v>356400000</v>
      </c>
      <c r="M35" s="47">
        <v>300000000</v>
      </c>
      <c r="N35" s="45">
        <v>5900000</v>
      </c>
      <c r="O35" s="48">
        <v>711000000</v>
      </c>
      <c r="P35" s="45">
        <v>6800000</v>
      </c>
      <c r="Q35" s="48">
        <v>37400000</v>
      </c>
      <c r="R35" s="48">
        <v>702500000</v>
      </c>
      <c r="S35" s="53">
        <v>210000000</v>
      </c>
      <c r="T35" s="45">
        <v>10300000</v>
      </c>
      <c r="U35" s="45">
        <v>1650000</v>
      </c>
      <c r="V35" s="45">
        <v>4000000</v>
      </c>
      <c r="W35" s="45">
        <v>2020000</v>
      </c>
      <c r="X35" s="45">
        <v>200000</v>
      </c>
      <c r="Y35" s="45">
        <v>6550000</v>
      </c>
      <c r="Z35" s="43">
        <v>4500000</v>
      </c>
      <c r="AA35" s="45">
        <v>4500000</v>
      </c>
      <c r="AB35" s="45">
        <v>27000000</v>
      </c>
      <c r="AC35" s="52">
        <f t="shared" si="0"/>
        <v>2694710000</v>
      </c>
    </row>
    <row r="36" spans="1:29" ht="16.5" x14ac:dyDescent="0.25">
      <c r="A36" s="16">
        <f t="shared" si="2"/>
        <v>27</v>
      </c>
      <c r="B36" s="42" t="s">
        <v>54</v>
      </c>
      <c r="C36" s="45">
        <v>120600000</v>
      </c>
      <c r="D36" s="45">
        <v>430000000</v>
      </c>
      <c r="E36" s="45">
        <v>105100000</v>
      </c>
      <c r="F36" s="45">
        <v>139500000</v>
      </c>
      <c r="G36" s="776">
        <f>'32 Cadre L ogiqueBfssam 1er'!$G$842</f>
        <v>100040000</v>
      </c>
      <c r="H36" s="45">
        <v>2401168000</v>
      </c>
      <c r="I36" s="45">
        <v>608100000</v>
      </c>
      <c r="J36" s="46">
        <v>547000000</v>
      </c>
      <c r="K36" s="45">
        <v>319240000</v>
      </c>
      <c r="L36" s="45">
        <v>985000000</v>
      </c>
      <c r="M36" s="47">
        <v>80000000</v>
      </c>
      <c r="N36" s="43">
        <v>830000000</v>
      </c>
      <c r="O36" s="48">
        <v>216000000</v>
      </c>
      <c r="P36" s="45">
        <v>203700000</v>
      </c>
      <c r="Q36" s="48">
        <v>100500000</v>
      </c>
      <c r="R36" s="48">
        <v>50200000</v>
      </c>
      <c r="S36" s="53">
        <v>71800000</v>
      </c>
      <c r="T36" s="45">
        <v>214500000</v>
      </c>
      <c r="U36" s="45">
        <v>111350000</v>
      </c>
      <c r="V36" s="45">
        <v>654000000</v>
      </c>
      <c r="W36" s="45">
        <v>465500000</v>
      </c>
      <c r="X36" s="45"/>
      <c r="Y36" s="45">
        <v>2900000</v>
      </c>
      <c r="Z36" s="43">
        <v>103500000</v>
      </c>
      <c r="AA36" s="45">
        <v>832000000</v>
      </c>
      <c r="AB36" s="45">
        <v>456400000</v>
      </c>
      <c r="AC36" s="52">
        <f t="shared" si="0"/>
        <v>10148098000</v>
      </c>
    </row>
    <row r="37" spans="1:29" ht="16.5" x14ac:dyDescent="0.25">
      <c r="A37" s="16">
        <f t="shared" si="2"/>
        <v>28</v>
      </c>
      <c r="B37" s="62" t="s">
        <v>55</v>
      </c>
      <c r="C37" s="45">
        <v>71280000</v>
      </c>
      <c r="D37" s="45">
        <v>95500000</v>
      </c>
      <c r="E37" s="45">
        <v>10060000</v>
      </c>
      <c r="F37" s="45">
        <v>68750000</v>
      </c>
      <c r="G37" s="776">
        <f>'32 Cadre L ogiqueBfssam 1er'!$G$756</f>
        <v>25050000</v>
      </c>
      <c r="H37" s="45">
        <v>115500000</v>
      </c>
      <c r="I37" s="45">
        <v>145700000</v>
      </c>
      <c r="J37" s="46">
        <v>374000000</v>
      </c>
      <c r="K37" s="45">
        <v>76934000</v>
      </c>
      <c r="L37" s="45">
        <v>984000000</v>
      </c>
      <c r="M37" s="47">
        <v>50000000</v>
      </c>
      <c r="N37" s="45">
        <v>35000000</v>
      </c>
      <c r="O37" s="48">
        <v>130000000</v>
      </c>
      <c r="P37" s="45">
        <v>53910000</v>
      </c>
      <c r="Q37" s="48">
        <v>31000000</v>
      </c>
      <c r="R37" s="48">
        <v>1062000000</v>
      </c>
      <c r="S37" s="53">
        <v>0</v>
      </c>
      <c r="T37" s="45">
        <v>53500000</v>
      </c>
      <c r="U37" s="45">
        <v>40488000</v>
      </c>
      <c r="V37" s="45">
        <v>35000000</v>
      </c>
      <c r="W37" s="45">
        <v>44000000</v>
      </c>
      <c r="X37" s="45">
        <v>710400000</v>
      </c>
      <c r="Y37" s="45">
        <v>3000000</v>
      </c>
      <c r="Z37" s="43">
        <v>30000000</v>
      </c>
      <c r="AA37" s="45">
        <v>84500000</v>
      </c>
      <c r="AB37" s="45">
        <v>66250000</v>
      </c>
      <c r="AC37" s="52">
        <f t="shared" si="0"/>
        <v>4395822000</v>
      </c>
    </row>
    <row r="38" spans="1:29" ht="16.5" x14ac:dyDescent="0.25">
      <c r="A38" s="16">
        <f t="shared" si="2"/>
        <v>29</v>
      </c>
      <c r="B38" s="42" t="s">
        <v>56</v>
      </c>
      <c r="C38" s="45">
        <v>33400000</v>
      </c>
      <c r="D38" s="45">
        <v>150000000</v>
      </c>
      <c r="E38" s="45">
        <v>200000</v>
      </c>
      <c r="F38" s="45">
        <v>25000000</v>
      </c>
      <c r="G38" s="776">
        <f>'32 Cadre L ogiqueBfssam 1er'!$G$1043</f>
        <v>200000</v>
      </c>
      <c r="H38" s="45">
        <v>55000000</v>
      </c>
      <c r="I38" s="43">
        <v>29500000</v>
      </c>
      <c r="J38" s="46">
        <v>311000000</v>
      </c>
      <c r="K38" s="45">
        <v>120000000</v>
      </c>
      <c r="L38" s="43">
        <v>987000000</v>
      </c>
      <c r="M38" s="47">
        <v>46000000</v>
      </c>
      <c r="N38" s="45">
        <v>25000000</v>
      </c>
      <c r="O38" s="49">
        <v>342500000</v>
      </c>
      <c r="P38" s="45">
        <v>6000000</v>
      </c>
      <c r="Q38" s="49">
        <v>3000000</v>
      </c>
      <c r="R38" s="49">
        <v>58000000</v>
      </c>
      <c r="S38" s="53">
        <v>1000000</v>
      </c>
      <c r="T38" s="45">
        <v>104000000</v>
      </c>
      <c r="U38" s="45">
        <v>95600000</v>
      </c>
      <c r="V38" s="45">
        <v>25000000</v>
      </c>
      <c r="W38" s="45">
        <v>15500000</v>
      </c>
      <c r="X38" s="45">
        <v>450000000</v>
      </c>
      <c r="Y38" s="45">
        <v>22600000</v>
      </c>
      <c r="Z38" s="43">
        <v>13000000</v>
      </c>
      <c r="AA38" s="45">
        <v>1062000000</v>
      </c>
      <c r="AB38" s="45">
        <v>82750000</v>
      </c>
      <c r="AC38" s="52">
        <f t="shared" si="0"/>
        <v>4063250000</v>
      </c>
    </row>
    <row r="39" spans="1:29" ht="16.5" x14ac:dyDescent="0.25">
      <c r="A39" s="16">
        <f t="shared" si="2"/>
        <v>30</v>
      </c>
      <c r="B39" s="42" t="s">
        <v>97</v>
      </c>
      <c r="C39" s="45"/>
      <c r="D39" s="45"/>
      <c r="E39" s="45"/>
      <c r="F39" s="45"/>
      <c r="G39" s="656"/>
      <c r="H39" s="45"/>
      <c r="I39" s="43"/>
      <c r="J39" s="46"/>
      <c r="K39" s="45"/>
      <c r="L39" s="43"/>
      <c r="M39" s="43"/>
      <c r="N39" s="45"/>
      <c r="O39" s="49"/>
      <c r="P39" s="45"/>
      <c r="Q39" s="49"/>
      <c r="R39" s="49"/>
      <c r="S39" s="53"/>
      <c r="T39" s="45"/>
      <c r="U39" s="45"/>
      <c r="V39" s="45"/>
      <c r="W39" s="45"/>
      <c r="X39" s="45"/>
      <c r="Y39" s="45"/>
      <c r="Z39" s="43"/>
      <c r="AA39" s="45"/>
      <c r="AB39" s="45"/>
      <c r="AC39" s="52">
        <f t="shared" si="0"/>
        <v>0</v>
      </c>
    </row>
    <row r="40" spans="1:29" ht="16.5" x14ac:dyDescent="0.25">
      <c r="A40" s="16">
        <f t="shared" si="2"/>
        <v>31</v>
      </c>
      <c r="B40" s="42" t="s">
        <v>34</v>
      </c>
      <c r="C40" s="45">
        <v>56240000</v>
      </c>
      <c r="D40" s="43">
        <v>150000000</v>
      </c>
      <c r="E40" s="43">
        <v>0</v>
      </c>
      <c r="F40" s="43">
        <v>6500000</v>
      </c>
      <c r="G40" s="1045">
        <f>'32 Cadre L ogiqueBfssam 1er'!$G$993</f>
        <v>105000000</v>
      </c>
      <c r="H40" s="43">
        <v>200750000</v>
      </c>
      <c r="I40" s="43">
        <v>77500000</v>
      </c>
      <c r="J40" s="46">
        <v>83800000</v>
      </c>
      <c r="K40" s="43">
        <v>70150000</v>
      </c>
      <c r="L40" s="43">
        <v>872000000</v>
      </c>
      <c r="M40" s="43"/>
      <c r="N40" s="43">
        <v>250000000</v>
      </c>
      <c r="O40" s="49">
        <v>0</v>
      </c>
      <c r="P40" s="43">
        <v>32000000</v>
      </c>
      <c r="Q40" s="49">
        <v>53000000</v>
      </c>
      <c r="R40" s="49">
        <v>0</v>
      </c>
      <c r="S40" s="54">
        <v>0</v>
      </c>
      <c r="T40" s="43">
        <v>6500000</v>
      </c>
      <c r="U40" s="43">
        <v>56740000</v>
      </c>
      <c r="V40" s="43">
        <v>261000000</v>
      </c>
      <c r="W40" s="43">
        <v>67000000</v>
      </c>
      <c r="X40" s="43">
        <v>200000</v>
      </c>
      <c r="Y40" s="43">
        <v>1800000</v>
      </c>
      <c r="Z40" s="43">
        <v>125500000</v>
      </c>
      <c r="AA40" s="43">
        <v>63500000</v>
      </c>
      <c r="AB40" s="43">
        <v>17900000</v>
      </c>
      <c r="AC40" s="52">
        <f t="shared" si="0"/>
        <v>2557080000</v>
      </c>
    </row>
    <row r="41" spans="1:29" ht="16.5" x14ac:dyDescent="0.25">
      <c r="A41" s="16">
        <f t="shared" si="2"/>
        <v>32</v>
      </c>
      <c r="B41" s="42" t="s">
        <v>57</v>
      </c>
      <c r="C41" s="43">
        <v>0</v>
      </c>
      <c r="D41" s="43">
        <v>0</v>
      </c>
      <c r="E41" s="43">
        <v>0</v>
      </c>
      <c r="F41" s="43">
        <v>0</v>
      </c>
      <c r="G41" s="657">
        <v>0</v>
      </c>
      <c r="H41" s="43">
        <v>0</v>
      </c>
      <c r="I41" s="43"/>
      <c r="J41" s="49">
        <v>0</v>
      </c>
      <c r="K41" s="43">
        <v>0</v>
      </c>
      <c r="L41" s="43"/>
      <c r="M41" s="43"/>
      <c r="N41" s="43">
        <v>0</v>
      </c>
      <c r="O41" s="49">
        <v>0</v>
      </c>
      <c r="P41" s="43">
        <v>0</v>
      </c>
      <c r="Q41" s="54">
        <v>0</v>
      </c>
      <c r="R41" s="49">
        <v>0</v>
      </c>
      <c r="S41" s="54">
        <v>5750000</v>
      </c>
      <c r="T41" s="43">
        <v>0</v>
      </c>
      <c r="U41" s="43">
        <v>0</v>
      </c>
      <c r="V41" s="43">
        <v>0</v>
      </c>
      <c r="W41" s="43">
        <v>0</v>
      </c>
      <c r="X41" s="43">
        <v>0</v>
      </c>
      <c r="Y41" s="43">
        <v>0</v>
      </c>
      <c r="Z41" s="43">
        <v>0</v>
      </c>
      <c r="AA41" s="43">
        <v>0</v>
      </c>
      <c r="AB41" s="43">
        <v>0</v>
      </c>
      <c r="AC41" s="52">
        <f t="shared" si="0"/>
        <v>5750000</v>
      </c>
    </row>
    <row r="42" spans="1:29" ht="16.5" x14ac:dyDescent="0.25">
      <c r="A42" s="16">
        <f t="shared" si="2"/>
        <v>33</v>
      </c>
      <c r="B42" s="42" t="s">
        <v>2</v>
      </c>
      <c r="C42" s="43">
        <v>0</v>
      </c>
      <c r="D42" s="43">
        <v>0</v>
      </c>
      <c r="E42" s="43">
        <v>0</v>
      </c>
      <c r="F42" s="43">
        <v>0</v>
      </c>
      <c r="G42" s="657">
        <v>0</v>
      </c>
      <c r="H42" s="43">
        <v>0</v>
      </c>
      <c r="I42" s="43"/>
      <c r="J42" s="49">
        <v>0</v>
      </c>
      <c r="K42" s="43">
        <v>0</v>
      </c>
      <c r="L42" s="43"/>
      <c r="M42" s="43"/>
      <c r="N42" s="43">
        <v>0</v>
      </c>
      <c r="O42" s="43">
        <v>0</v>
      </c>
      <c r="P42" s="43">
        <v>0</v>
      </c>
      <c r="Q42" s="43"/>
      <c r="R42" s="43">
        <v>0</v>
      </c>
      <c r="S42" s="43"/>
      <c r="T42" s="43">
        <v>0</v>
      </c>
      <c r="U42" s="43">
        <v>0</v>
      </c>
      <c r="V42" s="43">
        <v>0</v>
      </c>
      <c r="W42" s="43">
        <v>0</v>
      </c>
      <c r="X42" s="43">
        <v>0</v>
      </c>
      <c r="Y42" s="43">
        <v>0</v>
      </c>
      <c r="Z42" s="43">
        <v>0</v>
      </c>
      <c r="AA42" s="43">
        <v>0</v>
      </c>
      <c r="AB42" s="43">
        <v>0</v>
      </c>
      <c r="AC42" s="52">
        <f t="shared" si="0"/>
        <v>0</v>
      </c>
    </row>
    <row r="43" spans="1:29" ht="16.5" x14ac:dyDescent="0.25">
      <c r="A43" s="16">
        <f t="shared" si="2"/>
        <v>34</v>
      </c>
      <c r="B43" s="42" t="s">
        <v>58</v>
      </c>
      <c r="C43" s="43">
        <v>0</v>
      </c>
      <c r="D43" s="43">
        <v>0</v>
      </c>
      <c r="E43" s="43">
        <v>0</v>
      </c>
      <c r="F43" s="43">
        <v>0</v>
      </c>
      <c r="G43" s="657">
        <v>0</v>
      </c>
      <c r="H43" s="43">
        <v>0</v>
      </c>
      <c r="I43" s="43"/>
      <c r="J43" s="49">
        <v>0</v>
      </c>
      <c r="K43" s="43">
        <v>0</v>
      </c>
      <c r="L43" s="43"/>
      <c r="M43" s="43"/>
      <c r="N43" s="43">
        <v>0</v>
      </c>
      <c r="O43" s="43">
        <v>0</v>
      </c>
      <c r="P43" s="43">
        <v>0</v>
      </c>
      <c r="Q43" s="43"/>
      <c r="R43" s="43">
        <v>0</v>
      </c>
      <c r="S43" s="43"/>
      <c r="T43" s="43">
        <v>0</v>
      </c>
      <c r="U43" s="43">
        <v>0</v>
      </c>
      <c r="V43" s="43">
        <v>0</v>
      </c>
      <c r="W43" s="43">
        <v>0</v>
      </c>
      <c r="X43" s="43">
        <v>0</v>
      </c>
      <c r="Y43" s="43">
        <v>0</v>
      </c>
      <c r="Z43" s="43">
        <v>0</v>
      </c>
      <c r="AA43" s="43">
        <v>0</v>
      </c>
      <c r="AB43" s="43">
        <v>0</v>
      </c>
      <c r="AC43" s="52">
        <f t="shared" si="0"/>
        <v>0</v>
      </c>
    </row>
    <row r="44" spans="1:29" ht="16.5" x14ac:dyDescent="0.25">
      <c r="A44" s="16">
        <f t="shared" si="2"/>
        <v>35</v>
      </c>
      <c r="B44" s="42" t="s">
        <v>59</v>
      </c>
      <c r="C44" s="43">
        <v>0</v>
      </c>
      <c r="D44" s="43">
        <v>0</v>
      </c>
      <c r="E44" s="43">
        <v>0</v>
      </c>
      <c r="F44" s="43">
        <v>0</v>
      </c>
      <c r="G44" s="657">
        <v>0</v>
      </c>
      <c r="H44" s="43">
        <v>0</v>
      </c>
      <c r="I44" s="43"/>
      <c r="J44" s="49">
        <v>0</v>
      </c>
      <c r="K44" s="43">
        <v>0</v>
      </c>
      <c r="L44" s="43"/>
      <c r="M44" s="43"/>
      <c r="N44" s="43">
        <v>0</v>
      </c>
      <c r="O44" s="43">
        <v>0</v>
      </c>
      <c r="P44" s="43">
        <v>0</v>
      </c>
      <c r="Q44" s="43"/>
      <c r="R44" s="43">
        <v>0</v>
      </c>
      <c r="S44" s="43"/>
      <c r="T44" s="43">
        <v>0</v>
      </c>
      <c r="U44" s="43">
        <v>0</v>
      </c>
      <c r="V44" s="43">
        <v>0</v>
      </c>
      <c r="W44" s="43">
        <v>0</v>
      </c>
      <c r="X44" s="43">
        <v>0</v>
      </c>
      <c r="Y44" s="43">
        <v>0</v>
      </c>
      <c r="Z44" s="43">
        <v>0</v>
      </c>
      <c r="AA44" s="43">
        <v>0</v>
      </c>
      <c r="AB44" s="43">
        <v>0</v>
      </c>
      <c r="AC44" s="52">
        <f t="shared" si="0"/>
        <v>0</v>
      </c>
    </row>
    <row r="45" spans="1:29" ht="16.5" x14ac:dyDescent="0.25">
      <c r="A45" s="16">
        <f t="shared" si="2"/>
        <v>36</v>
      </c>
      <c r="B45" s="62" t="s">
        <v>0</v>
      </c>
      <c r="C45" s="43">
        <v>0</v>
      </c>
      <c r="D45" s="43">
        <v>0</v>
      </c>
      <c r="E45" s="43">
        <v>0</v>
      </c>
      <c r="F45" s="43">
        <v>0</v>
      </c>
      <c r="G45" s="657">
        <v>0</v>
      </c>
      <c r="H45" s="43">
        <v>0</v>
      </c>
      <c r="I45" s="43"/>
      <c r="J45" s="64">
        <v>1028000000</v>
      </c>
      <c r="K45" s="43">
        <v>0</v>
      </c>
      <c r="L45" s="43"/>
      <c r="M45" s="43"/>
      <c r="N45" s="43">
        <v>0</v>
      </c>
      <c r="O45" s="43">
        <v>0</v>
      </c>
      <c r="P45" s="43">
        <v>0</v>
      </c>
      <c r="Q45" s="43"/>
      <c r="R45" s="43">
        <v>0</v>
      </c>
      <c r="S45" s="43"/>
      <c r="T45" s="43">
        <v>0</v>
      </c>
      <c r="U45" s="43">
        <v>0</v>
      </c>
      <c r="V45" s="43">
        <v>0</v>
      </c>
      <c r="W45" s="43">
        <v>0</v>
      </c>
      <c r="X45" s="43">
        <v>0</v>
      </c>
      <c r="Y45" s="43">
        <v>0</v>
      </c>
      <c r="Z45" s="43">
        <v>0</v>
      </c>
      <c r="AA45" s="43">
        <v>0</v>
      </c>
      <c r="AB45" s="43">
        <v>0</v>
      </c>
      <c r="AC45" s="52">
        <f t="shared" si="0"/>
        <v>1028000000</v>
      </c>
    </row>
    <row r="46" spans="1:29" ht="16.5" x14ac:dyDescent="0.25">
      <c r="A46" s="16">
        <f t="shared" si="2"/>
        <v>37</v>
      </c>
      <c r="B46" s="62" t="s">
        <v>60</v>
      </c>
      <c r="C46" s="43">
        <v>0</v>
      </c>
      <c r="D46" s="43">
        <v>0</v>
      </c>
      <c r="E46" s="43">
        <v>0</v>
      </c>
      <c r="F46" s="43">
        <v>0</v>
      </c>
      <c r="G46" s="657">
        <v>0</v>
      </c>
      <c r="H46" s="43">
        <v>0</v>
      </c>
      <c r="I46" s="43"/>
      <c r="J46" s="49">
        <v>0</v>
      </c>
      <c r="K46" s="43">
        <v>0</v>
      </c>
      <c r="L46" s="43"/>
      <c r="M46" s="43"/>
      <c r="N46" s="43">
        <v>0</v>
      </c>
      <c r="O46" s="43">
        <v>0</v>
      </c>
      <c r="P46" s="43">
        <v>0</v>
      </c>
      <c r="Q46" s="43"/>
      <c r="R46" s="43">
        <v>0</v>
      </c>
      <c r="S46" s="43"/>
      <c r="T46" s="43">
        <v>0</v>
      </c>
      <c r="U46" s="43">
        <v>0</v>
      </c>
      <c r="V46" s="43">
        <v>0</v>
      </c>
      <c r="W46" s="43">
        <v>0</v>
      </c>
      <c r="X46" s="43">
        <v>0</v>
      </c>
      <c r="Y46" s="43">
        <v>0</v>
      </c>
      <c r="Z46" s="43">
        <v>0</v>
      </c>
      <c r="AA46" s="43">
        <v>0</v>
      </c>
      <c r="AB46" s="43">
        <v>0</v>
      </c>
      <c r="AC46" s="52">
        <f t="shared" si="0"/>
        <v>0</v>
      </c>
    </row>
    <row r="47" spans="1:29" ht="16.5" x14ac:dyDescent="0.25">
      <c r="A47" s="16">
        <f t="shared" si="2"/>
        <v>38</v>
      </c>
      <c r="B47" s="42" t="s">
        <v>61</v>
      </c>
      <c r="C47" s="43">
        <v>0</v>
      </c>
      <c r="D47" s="43">
        <v>0</v>
      </c>
      <c r="E47" s="43">
        <v>0</v>
      </c>
      <c r="F47" s="43">
        <v>0</v>
      </c>
      <c r="G47" s="657">
        <v>0</v>
      </c>
      <c r="H47" s="43">
        <v>0</v>
      </c>
      <c r="I47" s="43"/>
      <c r="J47" s="49">
        <v>0</v>
      </c>
      <c r="K47" s="43">
        <v>0</v>
      </c>
      <c r="L47" s="43"/>
      <c r="M47" s="43"/>
      <c r="N47" s="43">
        <v>0</v>
      </c>
      <c r="O47" s="43">
        <v>0</v>
      </c>
      <c r="P47" s="43">
        <v>0</v>
      </c>
      <c r="Q47" s="43"/>
      <c r="R47" s="43">
        <v>0</v>
      </c>
      <c r="S47" s="43"/>
      <c r="T47" s="43">
        <v>0</v>
      </c>
      <c r="U47" s="43">
        <v>0</v>
      </c>
      <c r="V47" s="43">
        <v>0</v>
      </c>
      <c r="W47" s="43">
        <v>0</v>
      </c>
      <c r="X47" s="43">
        <v>2343300000</v>
      </c>
      <c r="Y47" s="43">
        <v>0</v>
      </c>
      <c r="Z47" s="43">
        <v>0</v>
      </c>
      <c r="AA47" s="43">
        <v>0</v>
      </c>
      <c r="AB47" s="43">
        <v>0</v>
      </c>
      <c r="AC47" s="52">
        <f t="shared" si="0"/>
        <v>2343300000</v>
      </c>
    </row>
    <row r="48" spans="1:29" ht="16.5" x14ac:dyDescent="0.25">
      <c r="A48" s="16">
        <f t="shared" si="2"/>
        <v>39</v>
      </c>
      <c r="B48" s="42" t="s">
        <v>62</v>
      </c>
      <c r="C48" s="43">
        <v>0</v>
      </c>
      <c r="D48" s="43">
        <v>0</v>
      </c>
      <c r="E48" s="43">
        <v>0</v>
      </c>
      <c r="F48" s="43">
        <v>0</v>
      </c>
      <c r="G48" s="657">
        <v>0</v>
      </c>
      <c r="H48" s="43">
        <v>0</v>
      </c>
      <c r="I48" s="43"/>
      <c r="J48" s="49">
        <v>0</v>
      </c>
      <c r="K48" s="43">
        <v>0</v>
      </c>
      <c r="L48" s="43"/>
      <c r="M48" s="43"/>
      <c r="N48" s="43">
        <v>0</v>
      </c>
      <c r="O48" s="43">
        <v>0</v>
      </c>
      <c r="P48" s="43">
        <v>0</v>
      </c>
      <c r="Q48" s="43"/>
      <c r="R48" s="43">
        <v>0</v>
      </c>
      <c r="S48" s="43"/>
      <c r="T48" s="43">
        <v>0</v>
      </c>
      <c r="U48" s="43">
        <v>0</v>
      </c>
      <c r="V48" s="43">
        <v>0</v>
      </c>
      <c r="W48" s="43">
        <v>0</v>
      </c>
      <c r="X48" s="43">
        <v>331100000</v>
      </c>
      <c r="Y48" s="43">
        <v>0</v>
      </c>
      <c r="Z48" s="43">
        <v>0</v>
      </c>
      <c r="AA48" s="43">
        <v>0</v>
      </c>
      <c r="AB48" s="43">
        <v>0</v>
      </c>
      <c r="AC48" s="52">
        <f t="shared" si="0"/>
        <v>331100000</v>
      </c>
    </row>
    <row r="49" spans="1:29" ht="16.5" x14ac:dyDescent="0.25">
      <c r="A49" s="16">
        <f t="shared" si="2"/>
        <v>40</v>
      </c>
      <c r="B49" s="62" t="s">
        <v>63</v>
      </c>
      <c r="C49" s="43">
        <v>0</v>
      </c>
      <c r="D49" s="43">
        <v>0</v>
      </c>
      <c r="E49" s="43">
        <v>0</v>
      </c>
      <c r="F49" s="43">
        <v>0</v>
      </c>
      <c r="G49" s="657">
        <v>0</v>
      </c>
      <c r="H49" s="43">
        <v>0</v>
      </c>
      <c r="I49" s="43"/>
      <c r="J49" s="49"/>
      <c r="K49" s="43">
        <v>0</v>
      </c>
      <c r="L49" s="43"/>
      <c r="M49" s="43"/>
      <c r="N49" s="43">
        <v>0</v>
      </c>
      <c r="O49" s="43">
        <v>0</v>
      </c>
      <c r="P49" s="43">
        <v>0</v>
      </c>
      <c r="Q49" s="43"/>
      <c r="R49" s="43">
        <v>0</v>
      </c>
      <c r="S49" s="43"/>
      <c r="T49" s="43">
        <v>0</v>
      </c>
      <c r="U49" s="43">
        <v>0</v>
      </c>
      <c r="V49" s="43">
        <v>0</v>
      </c>
      <c r="W49" s="43">
        <v>0</v>
      </c>
      <c r="X49" s="43">
        <v>0</v>
      </c>
      <c r="Y49" s="43">
        <v>0</v>
      </c>
      <c r="Z49" s="43">
        <v>0</v>
      </c>
      <c r="AA49" s="43">
        <v>0</v>
      </c>
      <c r="AB49" s="43">
        <v>0</v>
      </c>
      <c r="AC49" s="52">
        <f t="shared" si="0"/>
        <v>0</v>
      </c>
    </row>
    <row r="50" spans="1:29" s="68" customFormat="1" ht="16.5" x14ac:dyDescent="0.25">
      <c r="A50" s="65"/>
      <c r="B50" s="65" t="s">
        <v>98</v>
      </c>
      <c r="C50" s="66">
        <f t="shared" ref="C50:I50" si="3">SUM(C5:C49)</f>
        <v>15886715714</v>
      </c>
      <c r="D50" s="66">
        <f t="shared" si="3"/>
        <v>18852062000</v>
      </c>
      <c r="E50" s="66">
        <f t="shared" si="3"/>
        <v>49859440000</v>
      </c>
      <c r="F50" s="66">
        <f t="shared" si="3"/>
        <v>34088990000</v>
      </c>
      <c r="G50" s="66">
        <f>SUM(G5:G49)</f>
        <v>37250000000</v>
      </c>
      <c r="H50" s="66">
        <f t="shared" si="3"/>
        <v>45065193620</v>
      </c>
      <c r="I50" s="66">
        <f t="shared" si="3"/>
        <v>17121559000</v>
      </c>
      <c r="J50" s="67">
        <f>SUM(J5:J48)</f>
        <v>28757108000</v>
      </c>
      <c r="K50" s="66">
        <f t="shared" ref="K50:AC50" si="4">SUM(K5:K49)</f>
        <v>143269387000</v>
      </c>
      <c r="L50" s="66">
        <f t="shared" si="4"/>
        <v>25768003000</v>
      </c>
      <c r="M50" s="66">
        <f t="shared" si="4"/>
        <v>14614156000</v>
      </c>
      <c r="N50" s="66">
        <f t="shared" si="4"/>
        <v>11567599500</v>
      </c>
      <c r="O50" s="66">
        <f t="shared" si="4"/>
        <v>64600860000</v>
      </c>
      <c r="P50" s="66">
        <f t="shared" si="4"/>
        <v>10373740000</v>
      </c>
      <c r="Q50" s="66">
        <f t="shared" si="4"/>
        <v>4797325295</v>
      </c>
      <c r="R50" s="66">
        <f t="shared" si="4"/>
        <v>10710302677</v>
      </c>
      <c r="S50" s="66">
        <f t="shared" si="4"/>
        <v>7766107932</v>
      </c>
      <c r="T50" s="66">
        <f t="shared" si="4"/>
        <v>12751430000</v>
      </c>
      <c r="U50" s="66">
        <f t="shared" si="4"/>
        <v>25777253738</v>
      </c>
      <c r="V50" s="66">
        <f t="shared" si="4"/>
        <v>6200259000</v>
      </c>
      <c r="W50" s="66">
        <f t="shared" si="4"/>
        <v>7901070011</v>
      </c>
      <c r="X50" s="66">
        <f t="shared" si="4"/>
        <v>14231765128</v>
      </c>
      <c r="Y50" s="66">
        <f t="shared" si="4"/>
        <v>9286880000</v>
      </c>
      <c r="Z50" s="66">
        <f t="shared" si="4"/>
        <v>11735030000</v>
      </c>
      <c r="AA50" s="66">
        <f t="shared" si="4"/>
        <v>14745654000</v>
      </c>
      <c r="AB50" s="66">
        <f t="shared" si="4"/>
        <v>27411793000</v>
      </c>
      <c r="AC50" s="66">
        <f t="shared" si="4"/>
        <v>670329684615</v>
      </c>
    </row>
    <row r="51" spans="1:29" s="68" customFormat="1" ht="16.5" x14ac:dyDescent="0.25">
      <c r="A51" s="69"/>
      <c r="B51" s="69" t="s">
        <v>99</v>
      </c>
      <c r="C51" s="70">
        <v>16116230714</v>
      </c>
      <c r="D51" s="71">
        <v>18852062000</v>
      </c>
      <c r="E51" s="70">
        <v>48741600000</v>
      </c>
      <c r="F51" s="71">
        <v>55480390000</v>
      </c>
      <c r="G51" s="71">
        <v>37317770000</v>
      </c>
      <c r="H51" s="69">
        <v>45065193620</v>
      </c>
      <c r="I51" s="71"/>
      <c r="J51" s="72">
        <v>28098460000</v>
      </c>
      <c r="K51" s="71">
        <v>143269387000</v>
      </c>
      <c r="L51" s="71"/>
      <c r="M51" s="71">
        <v>14614156000</v>
      </c>
      <c r="N51" s="71">
        <v>9381999500</v>
      </c>
      <c r="O51" s="71">
        <v>62991060000</v>
      </c>
      <c r="P51" s="71">
        <v>8931740000</v>
      </c>
      <c r="Q51" s="71"/>
      <c r="R51" s="71">
        <v>10704302677</v>
      </c>
      <c r="S51" s="71"/>
      <c r="T51" s="71">
        <v>11014480</v>
      </c>
      <c r="U51" s="71">
        <v>25777253738</v>
      </c>
      <c r="V51" s="71">
        <v>5907680000</v>
      </c>
      <c r="W51" s="71">
        <v>6958960011</v>
      </c>
      <c r="X51" s="69">
        <v>16515565128</v>
      </c>
      <c r="Y51" s="71">
        <v>8393440000</v>
      </c>
      <c r="Z51" s="70">
        <v>11734110000</v>
      </c>
      <c r="AA51" s="71">
        <v>14860904000</v>
      </c>
      <c r="AB51" s="71">
        <v>27411793000</v>
      </c>
      <c r="AC51" s="73">
        <f>SUM(C51:AB51)</f>
        <v>617135071868</v>
      </c>
    </row>
    <row r="52" spans="1:29" s="68" customFormat="1" ht="16.5" x14ac:dyDescent="0.25">
      <c r="A52" s="74"/>
      <c r="B52" s="74" t="s">
        <v>100</v>
      </c>
      <c r="C52" s="75">
        <f t="shared" ref="C52:AC52" si="5">C51-C50</f>
        <v>229515000</v>
      </c>
      <c r="D52" s="75">
        <f>D51-D50</f>
        <v>0</v>
      </c>
      <c r="E52" s="75">
        <f t="shared" si="5"/>
        <v>-1117840000</v>
      </c>
      <c r="F52" s="75">
        <f t="shared" si="5"/>
        <v>21391400000</v>
      </c>
      <c r="G52" s="75">
        <f t="shared" si="5"/>
        <v>67770000</v>
      </c>
      <c r="H52" s="75">
        <f>H51-H50</f>
        <v>0</v>
      </c>
      <c r="I52" s="75"/>
      <c r="J52" s="76">
        <f>J51-J50</f>
        <v>-658648000</v>
      </c>
      <c r="K52" s="75">
        <f t="shared" si="5"/>
        <v>0</v>
      </c>
      <c r="L52" s="75"/>
      <c r="M52" s="75">
        <f>M51-M50</f>
        <v>0</v>
      </c>
      <c r="N52" s="75">
        <f>N51-N50</f>
        <v>-2185600000</v>
      </c>
      <c r="O52" s="75">
        <f t="shared" si="5"/>
        <v>-1609800000</v>
      </c>
      <c r="P52" s="75">
        <f t="shared" si="5"/>
        <v>-1442000000</v>
      </c>
      <c r="Q52" s="75"/>
      <c r="R52" s="75">
        <f>R51-R50</f>
        <v>-6000000</v>
      </c>
      <c r="S52" s="75"/>
      <c r="T52" s="75">
        <f>T51-T50</f>
        <v>-12740415520</v>
      </c>
      <c r="U52" s="75">
        <f>U51-U50</f>
        <v>0</v>
      </c>
      <c r="V52" s="75">
        <f t="shared" si="5"/>
        <v>-292579000</v>
      </c>
      <c r="W52" s="75">
        <f t="shared" si="5"/>
        <v>-942110000</v>
      </c>
      <c r="X52" s="75">
        <f t="shared" si="5"/>
        <v>2283800000</v>
      </c>
      <c r="Y52" s="75">
        <f t="shared" si="5"/>
        <v>-893440000</v>
      </c>
      <c r="Z52" s="75">
        <f>Z51-Z50</f>
        <v>-920000</v>
      </c>
      <c r="AA52" s="75">
        <f t="shared" si="5"/>
        <v>115250000</v>
      </c>
      <c r="AB52" s="75">
        <f t="shared" si="5"/>
        <v>0</v>
      </c>
      <c r="AC52" s="75">
        <f t="shared" si="5"/>
        <v>-53194612747</v>
      </c>
    </row>
    <row r="53" spans="1:29" ht="16.5" x14ac:dyDescent="0.25">
      <c r="A53" s="1026"/>
      <c r="B53" s="77" t="s">
        <v>101</v>
      </c>
      <c r="C53" s="78">
        <f t="shared" ref="C53:K53" si="6">((C51-C50)/C51)*100</f>
        <v>1.424123320601403</v>
      </c>
      <c r="D53" s="78">
        <f>((D51-D50)/D51)*100</f>
        <v>0</v>
      </c>
      <c r="E53" s="78">
        <f t="shared" si="6"/>
        <v>-2.2934002987181379</v>
      </c>
      <c r="F53" s="78">
        <f t="shared" si="6"/>
        <v>38.556686425600105</v>
      </c>
      <c r="G53" s="78">
        <f t="shared" si="6"/>
        <v>0.18160249125282674</v>
      </c>
      <c r="H53" s="78">
        <f>((H51-H50)/H51)*100</f>
        <v>0</v>
      </c>
      <c r="I53" s="78"/>
      <c r="J53" s="79">
        <f>((J52/J51)*100)</f>
        <v>-2.3440715256280948</v>
      </c>
      <c r="K53" s="78">
        <f t="shared" si="6"/>
        <v>0</v>
      </c>
      <c r="L53" s="78"/>
      <c r="M53" s="78">
        <f>((M51-M50)/M51)*100</f>
        <v>0</v>
      </c>
      <c r="N53" s="78">
        <f>((N51-N50)/N51)*100</f>
        <v>-23.295673805994127</v>
      </c>
      <c r="O53" s="78">
        <f>((O51-O50)/O51)*100</f>
        <v>-2.5556007471536435</v>
      </c>
      <c r="P53" s="78">
        <f t="shared" ref="P53:AC53" si="7">((P51-P50)/P51)*100</f>
        <v>-16.144670579304815</v>
      </c>
      <c r="Q53" s="78"/>
      <c r="R53" s="78">
        <f>((R51-R50)/R51)*100</f>
        <v>-5.605222667042116E-2</v>
      </c>
      <c r="S53" s="78"/>
      <c r="T53" s="78">
        <f>((T51-T50)/T51)*100</f>
        <v>-115669.69589122682</v>
      </c>
      <c r="U53" s="78">
        <f>((U51-U50)/U51)*100</f>
        <v>0</v>
      </c>
      <c r="V53" s="78">
        <f t="shared" si="7"/>
        <v>-4.9525194323321511</v>
      </c>
      <c r="W53" s="78">
        <f t="shared" si="7"/>
        <v>-13.538086129404544</v>
      </c>
      <c r="X53" s="78">
        <f t="shared" si="7"/>
        <v>13.828167442651495</v>
      </c>
      <c r="Y53" s="78">
        <f t="shared" si="7"/>
        <v>-10.644503326407289</v>
      </c>
      <c r="Z53" s="78">
        <f>((Z51-Z50)/Z51)*100</f>
        <v>-7.8403901105409783E-3</v>
      </c>
      <c r="AA53" s="78">
        <f t="shared" si="7"/>
        <v>0.77552482675347345</v>
      </c>
      <c r="AB53" s="78">
        <f t="shared" si="7"/>
        <v>0</v>
      </c>
      <c r="AC53" s="80">
        <f t="shared" si="7"/>
        <v>-8.6196061724357627</v>
      </c>
    </row>
  </sheetData>
  <mergeCells count="2">
    <mergeCell ref="A13:A16"/>
    <mergeCell ref="A20:A22"/>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75"/>
  <sheetViews>
    <sheetView workbookViewId="0">
      <selection activeCell="M75" sqref="M75"/>
    </sheetView>
  </sheetViews>
  <sheetFormatPr baseColWidth="10" defaultRowHeight="15" x14ac:dyDescent="0.25"/>
  <cols>
    <col min="2" max="2" width="11.42578125" style="18"/>
    <col min="3" max="3" width="15.42578125" customWidth="1"/>
    <col min="4" max="4" width="20.85546875" customWidth="1"/>
    <col min="5" max="5" width="25.7109375" customWidth="1"/>
    <col min="6" max="6" width="19" customWidth="1"/>
    <col min="7" max="7" width="19.7109375" customWidth="1"/>
    <col min="8" max="8" width="21.140625" customWidth="1"/>
    <col min="9" max="9" width="22.28515625" customWidth="1"/>
    <col min="10" max="10" width="14.7109375" customWidth="1"/>
    <col min="11" max="11" width="13.5703125" customWidth="1"/>
    <col min="12" max="12" width="19.7109375" customWidth="1"/>
    <col min="13" max="13" width="10.85546875" style="142" customWidth="1"/>
    <col min="14" max="14" width="19" customWidth="1"/>
  </cols>
  <sheetData>
    <row r="2" spans="2:14" x14ac:dyDescent="0.25">
      <c r="B2" s="120" t="s">
        <v>103</v>
      </c>
    </row>
    <row r="3" spans="2:14" ht="15.75" thickBot="1" x14ac:dyDescent="0.3"/>
    <row r="4" spans="2:14" ht="24.75" customHeight="1" thickBot="1" x14ac:dyDescent="0.3">
      <c r="B4" s="121"/>
      <c r="C4" s="106"/>
      <c r="D4" s="950" t="s">
        <v>105</v>
      </c>
      <c r="E4" s="951"/>
      <c r="F4" s="951"/>
      <c r="G4" s="951"/>
      <c r="H4" s="952"/>
      <c r="I4" s="950" t="s">
        <v>203</v>
      </c>
      <c r="J4" s="951"/>
      <c r="K4" s="952"/>
      <c r="L4" s="953" t="s">
        <v>204</v>
      </c>
      <c r="M4" s="954"/>
      <c r="N4" s="955"/>
    </row>
    <row r="5" spans="2:14" ht="24.75" thickBot="1" x14ac:dyDescent="0.3">
      <c r="B5" s="121" t="s">
        <v>3</v>
      </c>
      <c r="C5" s="102" t="s">
        <v>104</v>
      </c>
      <c r="D5" s="103" t="s">
        <v>106</v>
      </c>
      <c r="E5" s="103" t="s">
        <v>107</v>
      </c>
      <c r="F5" s="103" t="s">
        <v>108</v>
      </c>
      <c r="G5" s="103" t="s">
        <v>109</v>
      </c>
      <c r="H5" s="103" t="s">
        <v>110</v>
      </c>
      <c r="I5" s="103" t="s">
        <v>106</v>
      </c>
      <c r="J5" s="103" t="s">
        <v>107</v>
      </c>
      <c r="K5" s="103" t="s">
        <v>108</v>
      </c>
      <c r="L5" s="104" t="s">
        <v>200</v>
      </c>
      <c r="M5" s="143" t="s">
        <v>201</v>
      </c>
      <c r="N5" s="105" t="s">
        <v>202</v>
      </c>
    </row>
    <row r="6" spans="2:14" ht="36" customHeight="1" thickBot="1" x14ac:dyDescent="0.3">
      <c r="B6" s="99">
        <v>1</v>
      </c>
      <c r="C6" s="4" t="s">
        <v>111</v>
      </c>
      <c r="D6" s="85" t="s">
        <v>112</v>
      </c>
      <c r="E6" s="4" t="s">
        <v>205</v>
      </c>
      <c r="F6" s="85" t="s">
        <v>113</v>
      </c>
      <c r="G6" s="4" t="s">
        <v>206</v>
      </c>
      <c r="H6" s="4" t="s">
        <v>207</v>
      </c>
      <c r="I6" s="4" t="s">
        <v>208</v>
      </c>
      <c r="J6" s="11" t="s">
        <v>114</v>
      </c>
      <c r="K6" s="11" t="s">
        <v>209</v>
      </c>
      <c r="L6" s="107" t="s">
        <v>112</v>
      </c>
      <c r="M6" s="144"/>
      <c r="N6" s="92"/>
    </row>
    <row r="7" spans="2:14" ht="15.75" thickBot="1" x14ac:dyDescent="0.3">
      <c r="B7" s="122"/>
      <c r="C7" s="110" t="s">
        <v>39</v>
      </c>
      <c r="D7" s="111">
        <v>25000000</v>
      </c>
      <c r="E7" s="111">
        <v>30000000</v>
      </c>
      <c r="F7" s="111">
        <v>5000</v>
      </c>
      <c r="G7" s="111">
        <v>5000</v>
      </c>
      <c r="H7" s="111">
        <v>5000</v>
      </c>
      <c r="I7" s="111">
        <v>5000</v>
      </c>
      <c r="J7" s="112"/>
      <c r="K7" s="113"/>
      <c r="L7" s="114"/>
      <c r="M7" s="150">
        <v>25000000</v>
      </c>
      <c r="N7" s="149"/>
    </row>
    <row r="8" spans="2:14" ht="84.75" thickBot="1" x14ac:dyDescent="0.3">
      <c r="B8" s="99">
        <v>2</v>
      </c>
      <c r="C8" s="4" t="s">
        <v>115</v>
      </c>
      <c r="D8" s="4" t="s">
        <v>210</v>
      </c>
      <c r="E8" s="4" t="s">
        <v>211</v>
      </c>
      <c r="F8" s="4" t="s">
        <v>212</v>
      </c>
      <c r="G8" s="4" t="s">
        <v>213</v>
      </c>
      <c r="H8" s="4" t="s">
        <v>214</v>
      </c>
      <c r="I8" s="4" t="s">
        <v>208</v>
      </c>
      <c r="J8" s="11" t="s">
        <v>114</v>
      </c>
      <c r="K8" s="4" t="s">
        <v>215</v>
      </c>
      <c r="L8" s="94" t="s">
        <v>210</v>
      </c>
      <c r="M8" s="144"/>
      <c r="N8" s="94" t="s">
        <v>116</v>
      </c>
    </row>
    <row r="9" spans="2:14" ht="15.75" thickBot="1" x14ac:dyDescent="0.3">
      <c r="B9" s="122"/>
      <c r="C9" s="110"/>
      <c r="D9" s="111">
        <v>50000000</v>
      </c>
      <c r="E9" s="111">
        <v>12500000</v>
      </c>
      <c r="F9" s="111">
        <v>7500000</v>
      </c>
      <c r="G9" s="111">
        <v>100000000</v>
      </c>
      <c r="H9" s="111">
        <v>30000000</v>
      </c>
      <c r="I9" s="112"/>
      <c r="J9" s="112"/>
      <c r="K9" s="112"/>
      <c r="L9" s="115"/>
      <c r="M9" s="131">
        <v>50000000</v>
      </c>
      <c r="N9" s="114"/>
    </row>
    <row r="10" spans="2:14" ht="120.75" thickBot="1" x14ac:dyDescent="0.3">
      <c r="B10" s="99">
        <v>3</v>
      </c>
      <c r="C10" s="4" t="s">
        <v>117</v>
      </c>
      <c r="D10" s="4" t="s">
        <v>216</v>
      </c>
      <c r="E10" s="4" t="s">
        <v>218</v>
      </c>
      <c r="F10" s="4" t="s">
        <v>219</v>
      </c>
      <c r="G10" s="4" t="s">
        <v>217</v>
      </c>
      <c r="H10" s="4" t="s">
        <v>220</v>
      </c>
      <c r="I10" s="4" t="s">
        <v>221</v>
      </c>
      <c r="J10" s="4" t="s">
        <v>223</v>
      </c>
      <c r="K10" s="4" t="s">
        <v>224</v>
      </c>
      <c r="L10" s="94" t="s">
        <v>216</v>
      </c>
      <c r="M10" s="144"/>
      <c r="N10" s="94" t="s">
        <v>222</v>
      </c>
    </row>
    <row r="11" spans="2:14" ht="15.75" thickBot="1" x14ac:dyDescent="0.3">
      <c r="B11" s="123"/>
      <c r="C11" s="117"/>
      <c r="D11" s="111">
        <v>10000000</v>
      </c>
      <c r="E11" s="111">
        <v>9000000</v>
      </c>
      <c r="F11" s="111">
        <v>9000000</v>
      </c>
      <c r="G11" s="111">
        <v>2000000</v>
      </c>
      <c r="H11" s="111">
        <v>25000000</v>
      </c>
      <c r="I11" s="118">
        <v>100000</v>
      </c>
      <c r="J11" s="118">
        <v>150000</v>
      </c>
      <c r="K11" s="118">
        <v>10000000</v>
      </c>
      <c r="L11" s="115"/>
      <c r="M11" s="131">
        <v>10000000</v>
      </c>
      <c r="N11" s="114"/>
    </row>
    <row r="12" spans="2:14" ht="120.75" thickBot="1" x14ac:dyDescent="0.3">
      <c r="B12" s="99">
        <v>4</v>
      </c>
      <c r="C12" s="4" t="s">
        <v>118</v>
      </c>
      <c r="D12" s="4" t="s">
        <v>225</v>
      </c>
      <c r="E12" s="4" t="s">
        <v>226</v>
      </c>
      <c r="F12" s="4" t="s">
        <v>227</v>
      </c>
      <c r="G12" s="4" t="s">
        <v>228</v>
      </c>
      <c r="H12" s="4" t="s">
        <v>229</v>
      </c>
      <c r="I12" s="4" t="s">
        <v>230</v>
      </c>
      <c r="J12" s="4" t="s">
        <v>231</v>
      </c>
      <c r="K12" s="4" t="s">
        <v>209</v>
      </c>
      <c r="L12" s="94" t="s">
        <v>232</v>
      </c>
      <c r="M12" s="145"/>
      <c r="N12" s="94" t="s">
        <v>116</v>
      </c>
    </row>
    <row r="13" spans="2:14" ht="15.75" thickBot="1" x14ac:dyDescent="0.3">
      <c r="B13" s="123"/>
      <c r="C13" s="117"/>
      <c r="D13" s="111">
        <v>20000000</v>
      </c>
      <c r="E13" s="111">
        <v>15000000</v>
      </c>
      <c r="F13" s="111">
        <v>30000000</v>
      </c>
      <c r="G13" s="111">
        <v>9000000</v>
      </c>
      <c r="H13" s="111">
        <v>9000000</v>
      </c>
      <c r="I13" s="119"/>
      <c r="J13" s="155"/>
      <c r="K13" s="155"/>
      <c r="L13" s="115"/>
      <c r="M13" s="131">
        <v>20000000</v>
      </c>
      <c r="N13" s="114"/>
    </row>
    <row r="14" spans="2:14" ht="72" customHeight="1" thickBot="1" x14ac:dyDescent="0.3">
      <c r="B14" s="93">
        <v>5</v>
      </c>
      <c r="C14" s="4" t="s">
        <v>119</v>
      </c>
      <c r="D14" s="4" t="s">
        <v>233</v>
      </c>
      <c r="E14" s="4" t="s">
        <v>234</v>
      </c>
      <c r="F14" s="4" t="s">
        <v>235</v>
      </c>
      <c r="G14" s="8" t="s">
        <v>236</v>
      </c>
      <c r="H14" s="4" t="s">
        <v>237</v>
      </c>
      <c r="I14" s="4" t="s">
        <v>120</v>
      </c>
      <c r="J14" s="11" t="s">
        <v>114</v>
      </c>
      <c r="K14" s="11" t="s">
        <v>209</v>
      </c>
      <c r="L14" s="94" t="s">
        <v>233</v>
      </c>
      <c r="M14" s="145"/>
      <c r="N14" s="94" t="s">
        <v>121</v>
      </c>
    </row>
    <row r="15" spans="2:14" ht="15.75" thickBot="1" x14ac:dyDescent="0.3">
      <c r="B15" s="123"/>
      <c r="C15" s="117"/>
      <c r="D15" s="111">
        <v>20000000</v>
      </c>
      <c r="E15" s="111">
        <v>20000000</v>
      </c>
      <c r="F15" s="111">
        <v>9000000</v>
      </c>
      <c r="G15" s="111">
        <v>30000000</v>
      </c>
      <c r="H15" s="111">
        <v>18000000</v>
      </c>
      <c r="I15" s="152"/>
      <c r="J15" s="152"/>
      <c r="K15" s="152"/>
      <c r="L15" s="115"/>
      <c r="M15" s="131">
        <v>20000000</v>
      </c>
      <c r="N15" s="114"/>
    </row>
    <row r="16" spans="2:14" ht="72.75" thickBot="1" x14ac:dyDescent="0.3">
      <c r="B16" s="99">
        <v>6</v>
      </c>
      <c r="C16" s="4" t="s">
        <v>122</v>
      </c>
      <c r="D16" s="4" t="s">
        <v>238</v>
      </c>
      <c r="E16" s="4" t="s">
        <v>239</v>
      </c>
      <c r="F16" s="4" t="s">
        <v>240</v>
      </c>
      <c r="G16" s="4" t="s">
        <v>241</v>
      </c>
      <c r="H16" s="4" t="s">
        <v>242</v>
      </c>
      <c r="I16" s="4" t="s">
        <v>120</v>
      </c>
      <c r="J16" s="11" t="s">
        <v>114</v>
      </c>
      <c r="K16" s="11" t="s">
        <v>209</v>
      </c>
      <c r="L16" s="94" t="s">
        <v>243</v>
      </c>
      <c r="M16" s="145"/>
      <c r="N16" s="94" t="s">
        <v>116</v>
      </c>
    </row>
    <row r="17" spans="2:14" ht="15.75" thickBot="1" x14ac:dyDescent="0.3">
      <c r="B17" s="123"/>
      <c r="C17" s="117"/>
      <c r="D17" s="111">
        <v>10000000</v>
      </c>
      <c r="E17" s="111">
        <v>5000000</v>
      </c>
      <c r="F17" s="111">
        <v>5000000</v>
      </c>
      <c r="G17" s="111">
        <v>10000000</v>
      </c>
      <c r="H17" s="111">
        <v>30000000</v>
      </c>
      <c r="I17" s="119"/>
      <c r="J17" s="119"/>
      <c r="K17" s="119"/>
      <c r="L17" s="115"/>
      <c r="M17" s="131">
        <v>10000000</v>
      </c>
      <c r="N17" s="114"/>
    </row>
    <row r="18" spans="2:14" ht="72.75" thickBot="1" x14ac:dyDescent="0.3">
      <c r="B18" s="99">
        <v>7</v>
      </c>
      <c r="C18" s="4" t="s">
        <v>123</v>
      </c>
      <c r="D18" s="4" t="s">
        <v>124</v>
      </c>
      <c r="E18" s="4" t="s">
        <v>244</v>
      </c>
      <c r="F18" s="4" t="s">
        <v>245</v>
      </c>
      <c r="G18" s="4" t="s">
        <v>246</v>
      </c>
      <c r="H18" s="4" t="s">
        <v>247</v>
      </c>
      <c r="I18" s="4" t="s">
        <v>248</v>
      </c>
      <c r="J18" s="11" t="s">
        <v>114</v>
      </c>
      <c r="K18" s="11" t="s">
        <v>209</v>
      </c>
      <c r="L18" s="94" t="s">
        <v>125</v>
      </c>
      <c r="M18" s="145"/>
      <c r="N18" s="94" t="s">
        <v>249</v>
      </c>
    </row>
    <row r="19" spans="2:14" ht="15.75" thickBot="1" x14ac:dyDescent="0.3">
      <c r="B19" s="123"/>
      <c r="C19" s="117"/>
      <c r="D19" s="111">
        <v>10000000</v>
      </c>
      <c r="E19" s="111">
        <v>50000</v>
      </c>
      <c r="F19" s="111">
        <v>50000</v>
      </c>
      <c r="G19" s="111">
        <v>10000000</v>
      </c>
      <c r="H19" s="111">
        <v>30000000</v>
      </c>
      <c r="I19" s="112"/>
      <c r="J19" s="112"/>
      <c r="K19" s="112"/>
      <c r="L19" s="115"/>
      <c r="M19" s="131">
        <v>10000000</v>
      </c>
      <c r="N19" s="114"/>
    </row>
    <row r="20" spans="2:14" ht="84.75" thickBot="1" x14ac:dyDescent="0.3">
      <c r="B20" s="99">
        <v>8</v>
      </c>
      <c r="C20" s="4" t="s">
        <v>126</v>
      </c>
      <c r="D20" s="4" t="s">
        <v>250</v>
      </c>
      <c r="E20" s="4" t="s">
        <v>251</v>
      </c>
      <c r="F20" s="4" t="s">
        <v>253</v>
      </c>
      <c r="G20" s="11" t="s">
        <v>252</v>
      </c>
      <c r="H20" s="4" t="s">
        <v>254</v>
      </c>
      <c r="I20" s="86" t="s">
        <v>120</v>
      </c>
      <c r="J20" s="11" t="s">
        <v>114</v>
      </c>
      <c r="K20" s="11" t="s">
        <v>209</v>
      </c>
      <c r="L20" s="94" t="s">
        <v>250</v>
      </c>
      <c r="M20" s="145"/>
      <c r="N20" s="108" t="s">
        <v>116</v>
      </c>
    </row>
    <row r="21" spans="2:14" ht="15.75" thickBot="1" x14ac:dyDescent="0.3">
      <c r="B21" s="123"/>
      <c r="C21" s="117"/>
      <c r="D21" s="111">
        <v>10000000</v>
      </c>
      <c r="E21" s="111">
        <v>2500000</v>
      </c>
      <c r="F21" s="111">
        <v>5000000</v>
      </c>
      <c r="G21" s="111">
        <v>30000000</v>
      </c>
      <c r="H21" s="111">
        <v>10000000</v>
      </c>
      <c r="I21" s="113"/>
      <c r="J21" s="113"/>
      <c r="K21" s="113"/>
      <c r="L21" s="115"/>
      <c r="M21" s="131">
        <v>10000000</v>
      </c>
      <c r="N21" s="114"/>
    </row>
    <row r="22" spans="2:14" ht="72.75" thickBot="1" x14ac:dyDescent="0.3">
      <c r="B22" s="99">
        <v>9</v>
      </c>
      <c r="C22" s="4" t="s">
        <v>127</v>
      </c>
      <c r="D22" s="11" t="s">
        <v>255</v>
      </c>
      <c r="E22" s="4" t="s">
        <v>256</v>
      </c>
      <c r="F22" s="86" t="s">
        <v>128</v>
      </c>
      <c r="G22" s="86" t="s">
        <v>129</v>
      </c>
      <c r="H22" s="11" t="s">
        <v>257</v>
      </c>
      <c r="I22" s="4" t="s">
        <v>130</v>
      </c>
      <c r="J22" s="4" t="s">
        <v>120</v>
      </c>
      <c r="K22" s="4" t="s">
        <v>258</v>
      </c>
      <c r="L22" s="94" t="s">
        <v>130</v>
      </c>
      <c r="M22" s="145"/>
      <c r="N22" s="94" t="s">
        <v>131</v>
      </c>
    </row>
    <row r="23" spans="2:14" ht="15.75" thickBot="1" x14ac:dyDescent="0.3">
      <c r="B23" s="123"/>
      <c r="C23" s="117"/>
      <c r="D23" s="111">
        <v>10000000</v>
      </c>
      <c r="E23" s="111">
        <v>50000</v>
      </c>
      <c r="F23" s="111">
        <v>50000</v>
      </c>
      <c r="G23" s="111">
        <v>50000</v>
      </c>
      <c r="H23" s="111">
        <v>30000000</v>
      </c>
      <c r="I23" s="111">
        <v>10000000</v>
      </c>
      <c r="J23" s="153"/>
      <c r="K23" s="153"/>
      <c r="L23" s="115"/>
      <c r="M23" s="131">
        <v>10000000</v>
      </c>
      <c r="N23" s="114"/>
    </row>
    <row r="24" spans="2:14" ht="36" customHeight="1" thickBot="1" x14ac:dyDescent="0.3">
      <c r="B24" s="99">
        <v>10</v>
      </c>
      <c r="C24" s="4" t="s">
        <v>132</v>
      </c>
      <c r="D24" s="4" t="s">
        <v>259</v>
      </c>
      <c r="E24" s="4" t="s">
        <v>260</v>
      </c>
      <c r="F24" s="4" t="s">
        <v>261</v>
      </c>
      <c r="G24" s="4" t="s">
        <v>262</v>
      </c>
      <c r="H24" s="4" t="s">
        <v>263</v>
      </c>
      <c r="I24" s="4" t="s">
        <v>264</v>
      </c>
      <c r="J24" s="86" t="s">
        <v>120</v>
      </c>
      <c r="K24" s="4" t="s">
        <v>258</v>
      </c>
      <c r="L24" s="94" t="s">
        <v>259</v>
      </c>
      <c r="M24" s="145"/>
      <c r="N24" s="94" t="s">
        <v>133</v>
      </c>
    </row>
    <row r="25" spans="2:14" ht="15.75" thickBot="1" x14ac:dyDescent="0.3">
      <c r="B25" s="123"/>
      <c r="C25" s="117"/>
      <c r="D25" s="111">
        <v>9000000</v>
      </c>
      <c r="E25" s="111">
        <v>9000000</v>
      </c>
      <c r="F25" s="111">
        <v>9000000</v>
      </c>
      <c r="G25" s="111">
        <v>5000000</v>
      </c>
      <c r="H25" s="111">
        <v>2000000</v>
      </c>
      <c r="I25" s="113"/>
      <c r="J25" s="113"/>
      <c r="K25" s="113"/>
      <c r="L25" s="115"/>
      <c r="M25" s="131">
        <v>9000000</v>
      </c>
      <c r="N25" s="114"/>
    </row>
    <row r="26" spans="2:14" ht="84.75" thickBot="1" x14ac:dyDescent="0.3">
      <c r="B26" s="99">
        <v>11</v>
      </c>
      <c r="C26" s="86" t="s">
        <v>134</v>
      </c>
      <c r="D26" s="4" t="s">
        <v>265</v>
      </c>
      <c r="E26" s="4" t="s">
        <v>266</v>
      </c>
      <c r="F26" s="4" t="s">
        <v>267</v>
      </c>
      <c r="G26" s="4" t="s">
        <v>268</v>
      </c>
      <c r="H26" s="4" t="s">
        <v>269</v>
      </c>
      <c r="I26" s="4" t="s">
        <v>270</v>
      </c>
      <c r="J26" s="4" t="s">
        <v>120</v>
      </c>
      <c r="K26" s="82"/>
      <c r="L26" s="94" t="s">
        <v>265</v>
      </c>
      <c r="M26" s="146"/>
      <c r="N26" s="108" t="s">
        <v>271</v>
      </c>
    </row>
    <row r="27" spans="2:14" ht="15.75" thickBot="1" x14ac:dyDescent="0.3">
      <c r="B27" s="123"/>
      <c r="C27" s="117"/>
      <c r="D27" s="111">
        <v>32000000</v>
      </c>
      <c r="E27" s="111">
        <v>9000000</v>
      </c>
      <c r="F27" s="111">
        <v>25000000</v>
      </c>
      <c r="G27" s="111">
        <v>5000000</v>
      </c>
      <c r="H27" s="111">
        <v>9000000</v>
      </c>
      <c r="I27" s="113"/>
      <c r="J27" s="113"/>
      <c r="K27" s="113"/>
      <c r="L27" s="115"/>
      <c r="M27" s="131">
        <v>32000000</v>
      </c>
      <c r="N27" s="114"/>
    </row>
    <row r="28" spans="2:14" ht="84.75" thickBot="1" x14ac:dyDescent="0.3">
      <c r="B28" s="126"/>
      <c r="C28" s="10"/>
      <c r="D28" s="4" t="s">
        <v>272</v>
      </c>
      <c r="E28" s="4" t="s">
        <v>273</v>
      </c>
      <c r="F28" s="4" t="s">
        <v>274</v>
      </c>
      <c r="G28" s="4" t="s">
        <v>275</v>
      </c>
      <c r="H28" s="4" t="s">
        <v>276</v>
      </c>
      <c r="I28" s="4" t="s">
        <v>136</v>
      </c>
      <c r="J28" s="4" t="s">
        <v>137</v>
      </c>
      <c r="K28" s="4" t="s">
        <v>277</v>
      </c>
      <c r="L28" s="94" t="s">
        <v>136</v>
      </c>
      <c r="M28" s="147"/>
      <c r="N28" s="94" t="s">
        <v>138</v>
      </c>
    </row>
    <row r="29" spans="2:14" ht="15.75" thickBot="1" x14ac:dyDescent="0.3">
      <c r="B29" s="128">
        <v>12</v>
      </c>
      <c r="C29" s="129" t="s">
        <v>135</v>
      </c>
      <c r="D29" s="111">
        <v>12000000</v>
      </c>
      <c r="E29" s="111">
        <v>9000000</v>
      </c>
      <c r="F29" s="111">
        <v>32000000</v>
      </c>
      <c r="G29" s="111">
        <v>32000000</v>
      </c>
      <c r="H29" s="113"/>
      <c r="I29" s="112"/>
      <c r="J29" s="112"/>
      <c r="K29" s="112"/>
      <c r="L29" s="116"/>
      <c r="M29" s="148"/>
      <c r="N29" s="114"/>
    </row>
    <row r="30" spans="2:14" ht="72.75" thickBot="1" x14ac:dyDescent="0.3">
      <c r="B30" s="99">
        <v>13</v>
      </c>
      <c r="C30" s="4" t="s">
        <v>139</v>
      </c>
      <c r="D30" s="89" t="s">
        <v>140</v>
      </c>
      <c r="E30" s="4" t="s">
        <v>278</v>
      </c>
      <c r="F30" s="4" t="s">
        <v>279</v>
      </c>
      <c r="G30" s="4" t="s">
        <v>280</v>
      </c>
      <c r="H30" s="4" t="s">
        <v>281</v>
      </c>
      <c r="I30" s="4" t="s">
        <v>141</v>
      </c>
      <c r="J30" s="4" t="s">
        <v>137</v>
      </c>
      <c r="K30" s="4" t="s">
        <v>277</v>
      </c>
      <c r="L30" s="108" t="s">
        <v>142</v>
      </c>
      <c r="M30" s="147"/>
      <c r="N30" s="94" t="s">
        <v>17</v>
      </c>
    </row>
    <row r="31" spans="2:14" ht="15.75" thickBot="1" x14ac:dyDescent="0.3">
      <c r="B31" s="127"/>
      <c r="C31" s="91"/>
      <c r="D31" s="130">
        <v>32000000</v>
      </c>
      <c r="E31" s="111">
        <v>5000000</v>
      </c>
      <c r="F31" s="111">
        <v>5000000</v>
      </c>
      <c r="G31" s="111">
        <v>9000000</v>
      </c>
      <c r="H31" s="111">
        <v>6000000</v>
      </c>
      <c r="I31" s="112"/>
      <c r="J31" s="112"/>
      <c r="K31" s="112"/>
      <c r="L31" s="116"/>
      <c r="M31" s="148">
        <v>32000000</v>
      </c>
      <c r="N31" s="114"/>
    </row>
    <row r="32" spans="2:14" ht="84.75" thickBot="1" x14ac:dyDescent="0.3">
      <c r="B32" s="3">
        <v>14</v>
      </c>
      <c r="C32" s="85" t="s">
        <v>143</v>
      </c>
      <c r="D32" s="89" t="s">
        <v>272</v>
      </c>
      <c r="E32" s="89" t="s">
        <v>282</v>
      </c>
      <c r="F32" s="89" t="s">
        <v>283</v>
      </c>
      <c r="G32" s="89" t="s">
        <v>284</v>
      </c>
      <c r="H32" s="4" t="s">
        <v>285</v>
      </c>
      <c r="I32" s="89" t="s">
        <v>286</v>
      </c>
      <c r="J32" s="89" t="s">
        <v>287</v>
      </c>
      <c r="K32" s="89" t="s">
        <v>288</v>
      </c>
      <c r="L32" s="108" t="s">
        <v>289</v>
      </c>
      <c r="M32" s="147"/>
      <c r="N32" s="108" t="s">
        <v>290</v>
      </c>
    </row>
    <row r="33" spans="2:14" ht="15.75" thickBot="1" x14ac:dyDescent="0.3">
      <c r="B33" s="123"/>
      <c r="C33" s="117"/>
      <c r="D33" s="111">
        <v>5000000</v>
      </c>
      <c r="E33" s="111">
        <v>1500000</v>
      </c>
      <c r="F33" s="111">
        <v>1500000</v>
      </c>
      <c r="G33" s="111">
        <v>9000000</v>
      </c>
      <c r="H33" s="111">
        <v>26000000</v>
      </c>
      <c r="I33" s="112"/>
      <c r="J33" s="112"/>
      <c r="K33" s="112"/>
      <c r="L33" s="131"/>
      <c r="M33" s="148">
        <v>5000000</v>
      </c>
      <c r="N33" s="114"/>
    </row>
    <row r="34" spans="2:14" ht="84.75" thickBot="1" x14ac:dyDescent="0.3">
      <c r="B34" s="99">
        <v>15</v>
      </c>
      <c r="C34" s="4" t="s">
        <v>144</v>
      </c>
      <c r="D34" s="4" t="s">
        <v>145</v>
      </c>
      <c r="E34" s="4" t="s">
        <v>146</v>
      </c>
      <c r="F34" s="4" t="s">
        <v>291</v>
      </c>
      <c r="G34" s="4" t="s">
        <v>292</v>
      </c>
      <c r="H34" s="11" t="s">
        <v>147</v>
      </c>
      <c r="I34" s="4" t="s">
        <v>148</v>
      </c>
      <c r="J34" s="4" t="s">
        <v>149</v>
      </c>
      <c r="K34" s="4" t="s">
        <v>277</v>
      </c>
      <c r="L34" s="94" t="s">
        <v>148</v>
      </c>
      <c r="M34" s="147"/>
      <c r="N34" s="94" t="s">
        <v>150</v>
      </c>
    </row>
    <row r="35" spans="2:14" ht="15.75" thickBot="1" x14ac:dyDescent="0.3">
      <c r="B35" s="125"/>
      <c r="C35" s="12"/>
      <c r="D35" s="130">
        <v>50000</v>
      </c>
      <c r="E35" s="111">
        <v>10000000</v>
      </c>
      <c r="F35" s="111">
        <v>50000000</v>
      </c>
      <c r="G35" s="111">
        <v>2000000</v>
      </c>
      <c r="H35" s="113"/>
      <c r="I35" s="111">
        <v>20000000</v>
      </c>
      <c r="J35" s="113"/>
      <c r="K35" s="113"/>
      <c r="L35" s="115"/>
      <c r="M35" s="148">
        <v>20000000</v>
      </c>
      <c r="N35" s="114"/>
    </row>
    <row r="36" spans="2:14" ht="72.75" thickBot="1" x14ac:dyDescent="0.3">
      <c r="B36" s="99">
        <v>17</v>
      </c>
      <c r="C36" s="4" t="s">
        <v>151</v>
      </c>
      <c r="D36" s="89" t="s">
        <v>152</v>
      </c>
      <c r="E36" s="4" t="s">
        <v>293</v>
      </c>
      <c r="F36" s="89" t="s">
        <v>153</v>
      </c>
      <c r="G36" s="89" t="s">
        <v>154</v>
      </c>
      <c r="H36" s="89" t="s">
        <v>155</v>
      </c>
      <c r="I36" s="4" t="s">
        <v>294</v>
      </c>
      <c r="J36" s="4" t="s">
        <v>120</v>
      </c>
      <c r="K36" s="88"/>
      <c r="L36" s="94" t="s">
        <v>152</v>
      </c>
      <c r="M36" s="145"/>
      <c r="N36" s="100" t="s">
        <v>290</v>
      </c>
    </row>
    <row r="37" spans="2:14" ht="15.75" thickBot="1" x14ac:dyDescent="0.3">
      <c r="B37" s="125"/>
      <c r="C37" s="90"/>
      <c r="D37" s="130">
        <v>10000000</v>
      </c>
      <c r="E37" s="111">
        <v>30000000</v>
      </c>
      <c r="F37" s="111">
        <v>2000000</v>
      </c>
      <c r="G37" s="111">
        <v>5000000</v>
      </c>
      <c r="H37" s="111">
        <v>300000</v>
      </c>
      <c r="I37" s="111">
        <v>10000000</v>
      </c>
      <c r="J37" s="112"/>
      <c r="K37" s="113"/>
      <c r="L37" s="131">
        <v>10000000</v>
      </c>
      <c r="M37" s="131">
        <v>10000000</v>
      </c>
      <c r="N37" s="114"/>
    </row>
    <row r="38" spans="2:14" ht="60" customHeight="1" thickBot="1" x14ac:dyDescent="0.3">
      <c r="B38" s="93">
        <v>18</v>
      </c>
      <c r="C38" s="4" t="s">
        <v>156</v>
      </c>
      <c r="D38" s="4" t="s">
        <v>295</v>
      </c>
      <c r="E38" s="4" t="s">
        <v>296</v>
      </c>
      <c r="F38" s="4" t="s">
        <v>297</v>
      </c>
      <c r="G38" s="4" t="s">
        <v>298</v>
      </c>
      <c r="H38" s="4" t="s">
        <v>299</v>
      </c>
      <c r="I38" s="4" t="s">
        <v>300</v>
      </c>
      <c r="J38" s="4" t="s">
        <v>301</v>
      </c>
      <c r="K38" s="4" t="s">
        <v>277</v>
      </c>
      <c r="L38" s="108" t="s">
        <v>157</v>
      </c>
      <c r="M38" s="147"/>
      <c r="N38" s="94" t="s">
        <v>66</v>
      </c>
    </row>
    <row r="39" spans="2:14" ht="15.75" thickBot="1" x14ac:dyDescent="0.3">
      <c r="C39" s="91"/>
      <c r="D39" s="130">
        <v>1000000</v>
      </c>
      <c r="E39" s="111">
        <v>50000</v>
      </c>
      <c r="F39" s="111">
        <v>50000</v>
      </c>
      <c r="G39" s="111">
        <v>40000000</v>
      </c>
      <c r="H39" s="111">
        <v>32000000</v>
      </c>
      <c r="I39" s="111">
        <v>10000000</v>
      </c>
      <c r="J39" s="111">
        <v>20000000</v>
      </c>
      <c r="K39" s="113"/>
      <c r="L39" s="115"/>
      <c r="M39" s="148">
        <v>1000000</v>
      </c>
      <c r="N39" s="114"/>
    </row>
    <row r="40" spans="2:14" ht="144.75" thickBot="1" x14ac:dyDescent="0.3">
      <c r="B40" s="99">
        <v>19</v>
      </c>
      <c r="C40" s="4" t="s">
        <v>158</v>
      </c>
      <c r="D40" s="4" t="s">
        <v>159</v>
      </c>
      <c r="E40" s="4" t="s">
        <v>160</v>
      </c>
      <c r="F40" s="4" t="s">
        <v>302</v>
      </c>
      <c r="G40" s="4" t="s">
        <v>303</v>
      </c>
      <c r="H40" s="4" t="s">
        <v>304</v>
      </c>
      <c r="I40" s="4" t="s">
        <v>162</v>
      </c>
      <c r="J40" s="4" t="s">
        <v>305</v>
      </c>
      <c r="K40" s="89" t="s">
        <v>161</v>
      </c>
      <c r="L40" s="94" t="s">
        <v>162</v>
      </c>
      <c r="M40" s="147"/>
      <c r="N40" s="100" t="s">
        <v>290</v>
      </c>
    </row>
    <row r="41" spans="2:14" ht="15.75" thickBot="1" x14ac:dyDescent="0.3">
      <c r="B41" s="127"/>
      <c r="C41" s="91"/>
      <c r="D41" s="130">
        <v>32000000</v>
      </c>
      <c r="E41" s="111">
        <v>5000000</v>
      </c>
      <c r="F41" s="111">
        <v>1000000</v>
      </c>
      <c r="G41" s="111">
        <v>10000000</v>
      </c>
      <c r="H41" s="111">
        <v>10000000</v>
      </c>
      <c r="I41" s="111">
        <v>10000000</v>
      </c>
      <c r="J41" s="153"/>
      <c r="K41" s="153"/>
      <c r="L41" s="131"/>
      <c r="M41" s="148">
        <v>10000000</v>
      </c>
      <c r="N41" s="114"/>
    </row>
    <row r="42" spans="2:14" ht="120.75" thickBot="1" x14ac:dyDescent="0.3">
      <c r="B42" s="93">
        <v>20</v>
      </c>
      <c r="C42" s="5" t="s">
        <v>163</v>
      </c>
      <c r="D42" s="4" t="s">
        <v>306</v>
      </c>
      <c r="E42" s="4" t="s">
        <v>307</v>
      </c>
      <c r="F42" s="89" t="s">
        <v>164</v>
      </c>
      <c r="G42" s="4" t="s">
        <v>308</v>
      </c>
      <c r="H42" s="89" t="s">
        <v>164</v>
      </c>
      <c r="I42" s="4" t="s">
        <v>165</v>
      </c>
      <c r="J42" s="4" t="s">
        <v>305</v>
      </c>
      <c r="K42" s="4" t="s">
        <v>166</v>
      </c>
      <c r="L42" s="94" t="s">
        <v>306</v>
      </c>
      <c r="M42" s="145"/>
      <c r="N42" s="94" t="s">
        <v>167</v>
      </c>
    </row>
    <row r="43" spans="2:14" ht="15.75" thickBot="1" x14ac:dyDescent="0.3">
      <c r="B43" s="127"/>
      <c r="C43" s="91"/>
      <c r="D43" s="130">
        <v>30000000</v>
      </c>
      <c r="E43" s="111">
        <v>100000000</v>
      </c>
      <c r="F43" s="111">
        <v>2500000</v>
      </c>
      <c r="G43" s="111">
        <v>300000</v>
      </c>
      <c r="H43" s="111">
        <v>2500000</v>
      </c>
      <c r="I43" s="111"/>
      <c r="J43" s="154">
        <v>10000000</v>
      </c>
      <c r="K43" s="154">
        <v>4000000</v>
      </c>
      <c r="L43" s="131">
        <v>30000000</v>
      </c>
      <c r="M43" s="148">
        <v>3000000</v>
      </c>
      <c r="N43" s="114"/>
    </row>
    <row r="44" spans="2:14" ht="120.75" thickBot="1" x14ac:dyDescent="0.3">
      <c r="B44" s="99">
        <v>21</v>
      </c>
      <c r="C44" s="4" t="s">
        <v>168</v>
      </c>
      <c r="D44" s="4" t="s">
        <v>169</v>
      </c>
      <c r="E44" s="4" t="s">
        <v>309</v>
      </c>
      <c r="F44" s="4" t="s">
        <v>310</v>
      </c>
      <c r="G44" s="4" t="s">
        <v>170</v>
      </c>
      <c r="H44" s="4" t="s">
        <v>171</v>
      </c>
      <c r="I44" s="11" t="s">
        <v>311</v>
      </c>
      <c r="J44" s="4" t="s">
        <v>305</v>
      </c>
      <c r="K44" s="84"/>
      <c r="L44" s="94" t="s">
        <v>169</v>
      </c>
      <c r="M44" s="145"/>
      <c r="N44" s="94" t="s">
        <v>172</v>
      </c>
    </row>
    <row r="45" spans="2:14" ht="15.75" thickBot="1" x14ac:dyDescent="0.3">
      <c r="B45" s="125"/>
      <c r="C45" s="12"/>
      <c r="D45" s="130">
        <v>25000000</v>
      </c>
      <c r="E45" s="111">
        <v>2500000</v>
      </c>
      <c r="F45" s="153"/>
      <c r="G45" s="153"/>
      <c r="H45" s="153"/>
      <c r="I45" s="153"/>
      <c r="J45" s="153"/>
      <c r="K45" s="113"/>
      <c r="L45" s="131">
        <v>25000000</v>
      </c>
      <c r="M45" s="131">
        <v>25000000</v>
      </c>
      <c r="N45" s="114"/>
    </row>
    <row r="46" spans="2:14" ht="48.75" thickBot="1" x14ac:dyDescent="0.3">
      <c r="B46" s="93">
        <v>22</v>
      </c>
      <c r="C46" s="5" t="s">
        <v>173</v>
      </c>
      <c r="D46" s="4" t="s">
        <v>312</v>
      </c>
      <c r="E46" s="4" t="s">
        <v>314</v>
      </c>
      <c r="F46" s="4" t="s">
        <v>313</v>
      </c>
      <c r="G46" s="4" t="s">
        <v>174</v>
      </c>
      <c r="H46" s="88"/>
      <c r="I46" s="88"/>
      <c r="J46" s="88"/>
      <c r="K46" s="88"/>
      <c r="L46" s="94" t="s">
        <v>312</v>
      </c>
      <c r="M46" s="145"/>
      <c r="N46" s="94" t="s">
        <v>172</v>
      </c>
    </row>
    <row r="47" spans="2:14" ht="15.75" thickBot="1" x14ac:dyDescent="0.3">
      <c r="B47" s="125"/>
      <c r="C47" s="12"/>
      <c r="D47" s="130">
        <v>30000000</v>
      </c>
      <c r="E47" s="111">
        <v>2000000</v>
      </c>
      <c r="F47" s="111">
        <v>45000000</v>
      </c>
      <c r="G47" s="111">
        <v>20000000</v>
      </c>
      <c r="H47" s="113"/>
      <c r="I47" s="113"/>
      <c r="J47" s="113"/>
      <c r="K47" s="113"/>
      <c r="L47" s="116">
        <v>30000000</v>
      </c>
      <c r="M47" s="131">
        <v>3000000</v>
      </c>
      <c r="N47" s="114"/>
    </row>
    <row r="48" spans="2:14" ht="60.75" thickBot="1" x14ac:dyDescent="0.3">
      <c r="B48" s="93">
        <v>23</v>
      </c>
      <c r="C48" s="4" t="s">
        <v>173</v>
      </c>
      <c r="D48" s="11" t="s">
        <v>315</v>
      </c>
      <c r="E48" s="4" t="s">
        <v>316</v>
      </c>
      <c r="F48" s="4" t="s">
        <v>317</v>
      </c>
      <c r="G48" s="88"/>
      <c r="H48" s="88"/>
      <c r="I48" s="88"/>
      <c r="J48" s="88"/>
      <c r="K48" s="88"/>
      <c r="L48" s="100" t="s">
        <v>315</v>
      </c>
      <c r="M48" s="145"/>
      <c r="N48" s="94" t="s">
        <v>172</v>
      </c>
    </row>
    <row r="49" spans="2:14" ht="15.75" thickBot="1" x14ac:dyDescent="0.3">
      <c r="B49" s="124"/>
      <c r="C49" s="12"/>
      <c r="D49" s="130">
        <v>30000000</v>
      </c>
      <c r="E49" s="111">
        <v>30000000</v>
      </c>
      <c r="F49" s="111">
        <v>40000000</v>
      </c>
      <c r="G49" s="113"/>
      <c r="H49" s="113"/>
      <c r="I49" s="113"/>
      <c r="J49" s="113"/>
      <c r="K49" s="113"/>
      <c r="L49" s="131">
        <v>30000000</v>
      </c>
      <c r="M49" s="131">
        <v>3000000</v>
      </c>
      <c r="N49" s="114"/>
    </row>
    <row r="50" spans="2:14" ht="48.75" thickBot="1" x14ac:dyDescent="0.3">
      <c r="B50" s="133">
        <v>24</v>
      </c>
      <c r="C50" s="4" t="s">
        <v>318</v>
      </c>
      <c r="D50" s="4" t="s">
        <v>175</v>
      </c>
      <c r="E50" s="4" t="s">
        <v>176</v>
      </c>
      <c r="F50" s="4" t="s">
        <v>319</v>
      </c>
      <c r="G50" s="4" t="s">
        <v>177</v>
      </c>
      <c r="H50" s="88"/>
      <c r="I50" s="88"/>
      <c r="J50" s="88"/>
      <c r="K50" s="88"/>
      <c r="L50" s="94" t="s">
        <v>175</v>
      </c>
      <c r="M50" s="145"/>
      <c r="N50" s="94" t="s">
        <v>172</v>
      </c>
    </row>
    <row r="51" spans="2:14" ht="15.75" thickBot="1" x14ac:dyDescent="0.3">
      <c r="B51" s="134"/>
      <c r="C51" s="132"/>
      <c r="D51" s="130">
        <v>40000000</v>
      </c>
      <c r="E51" s="111">
        <v>24000000</v>
      </c>
      <c r="F51" s="113"/>
      <c r="G51" s="113"/>
      <c r="H51" s="113"/>
      <c r="I51" s="113"/>
      <c r="J51" s="113"/>
      <c r="K51" s="113"/>
      <c r="L51" s="116">
        <v>40000000</v>
      </c>
      <c r="M51" s="131">
        <v>40000000</v>
      </c>
      <c r="N51" s="114"/>
    </row>
    <row r="52" spans="2:14" ht="72.75" thickBot="1" x14ac:dyDescent="0.3">
      <c r="B52" s="93">
        <v>25</v>
      </c>
      <c r="C52" s="5" t="s">
        <v>178</v>
      </c>
      <c r="D52" s="89" t="s">
        <v>320</v>
      </c>
      <c r="E52" s="89" t="s">
        <v>179</v>
      </c>
      <c r="F52" s="4" t="s">
        <v>321</v>
      </c>
      <c r="G52" s="88"/>
      <c r="H52" s="88"/>
      <c r="I52" s="88"/>
      <c r="J52" s="88"/>
      <c r="K52" s="88"/>
      <c r="L52" s="108" t="s">
        <v>320</v>
      </c>
      <c r="M52" s="147"/>
      <c r="N52" s="108" t="s">
        <v>172</v>
      </c>
    </row>
    <row r="53" spans="2:14" ht="15.75" thickBot="1" x14ac:dyDescent="0.3">
      <c r="B53" s="125"/>
      <c r="C53" s="12"/>
      <c r="D53" s="130">
        <v>3000000</v>
      </c>
      <c r="E53" s="111">
        <v>100000</v>
      </c>
      <c r="F53" s="113"/>
      <c r="G53" s="113"/>
      <c r="H53" s="113"/>
      <c r="I53" s="113"/>
      <c r="J53" s="113"/>
      <c r="K53" s="113"/>
      <c r="L53" s="115"/>
      <c r="M53" s="148">
        <v>3000000</v>
      </c>
      <c r="N53" s="114"/>
    </row>
    <row r="54" spans="2:14" ht="48.75" thickBot="1" x14ac:dyDescent="0.3">
      <c r="B54" s="99">
        <v>26</v>
      </c>
      <c r="C54" s="4" t="s">
        <v>322</v>
      </c>
      <c r="D54" s="4" t="s">
        <v>323</v>
      </c>
      <c r="E54" s="88"/>
      <c r="F54" s="88"/>
      <c r="G54" s="88"/>
      <c r="H54" s="88"/>
      <c r="I54" s="88"/>
      <c r="J54" s="88"/>
      <c r="K54" s="88"/>
      <c r="L54" s="94" t="s">
        <v>323</v>
      </c>
      <c r="M54" s="147"/>
      <c r="N54" s="108" t="s">
        <v>172</v>
      </c>
    </row>
    <row r="55" spans="2:14" ht="15.75" thickBot="1" x14ac:dyDescent="0.3">
      <c r="B55" s="127"/>
      <c r="C55" s="132"/>
      <c r="D55" s="130">
        <v>5000000</v>
      </c>
      <c r="E55" s="113"/>
      <c r="F55" s="113"/>
      <c r="G55" s="113"/>
      <c r="H55" s="113"/>
      <c r="I55" s="113"/>
      <c r="J55" s="113"/>
      <c r="K55" s="113"/>
      <c r="L55" s="115"/>
      <c r="M55" s="148"/>
      <c r="N55" s="114"/>
    </row>
    <row r="56" spans="2:14" ht="48.75" thickBot="1" x14ac:dyDescent="0.3">
      <c r="B56" s="93">
        <v>27</v>
      </c>
      <c r="C56" s="4" t="s">
        <v>324</v>
      </c>
      <c r="D56" s="4" t="s">
        <v>325</v>
      </c>
      <c r="E56" s="4" t="s">
        <v>326</v>
      </c>
      <c r="F56" s="4" t="s">
        <v>327</v>
      </c>
      <c r="G56" s="4" t="s">
        <v>328</v>
      </c>
      <c r="H56" s="4" t="s">
        <v>329</v>
      </c>
      <c r="I56" s="88"/>
      <c r="J56" s="88"/>
      <c r="K56" s="88"/>
      <c r="L56" s="94" t="s">
        <v>325</v>
      </c>
      <c r="M56" s="145"/>
      <c r="N56" s="94" t="s">
        <v>172</v>
      </c>
    </row>
    <row r="57" spans="2:14" ht="15.75" thickBot="1" x14ac:dyDescent="0.3">
      <c r="C57" s="132"/>
      <c r="D57" s="130">
        <v>40000000</v>
      </c>
      <c r="E57" s="111">
        <v>42000000</v>
      </c>
      <c r="F57" s="111">
        <v>25000000</v>
      </c>
      <c r="G57" s="111">
        <v>25000000</v>
      </c>
      <c r="H57" s="111">
        <v>25000000</v>
      </c>
      <c r="I57" s="113"/>
      <c r="J57" s="113"/>
      <c r="K57" s="113"/>
      <c r="L57" s="116">
        <v>40000000</v>
      </c>
      <c r="M57" s="131">
        <v>40000000</v>
      </c>
      <c r="N57" s="114"/>
    </row>
    <row r="58" spans="2:14" ht="48.75" thickBot="1" x14ac:dyDescent="0.3">
      <c r="B58" s="133">
        <v>28</v>
      </c>
      <c r="C58" s="4" t="s">
        <v>330</v>
      </c>
      <c r="D58" s="4" t="s">
        <v>180</v>
      </c>
      <c r="E58" s="89" t="s">
        <v>181</v>
      </c>
      <c r="F58" s="89" t="s">
        <v>182</v>
      </c>
      <c r="G58" s="88"/>
      <c r="H58" s="88"/>
      <c r="I58" s="88"/>
      <c r="J58" s="88"/>
      <c r="K58" s="88"/>
      <c r="L58" s="94" t="s">
        <v>183</v>
      </c>
      <c r="M58" s="145"/>
      <c r="N58" s="108" t="s">
        <v>172</v>
      </c>
    </row>
    <row r="59" spans="2:14" ht="15.75" thickBot="1" x14ac:dyDescent="0.3">
      <c r="B59" s="135"/>
      <c r="C59" s="12"/>
      <c r="D59" s="130">
        <v>30000000</v>
      </c>
      <c r="E59" s="111">
        <v>2500000</v>
      </c>
      <c r="F59" s="111">
        <v>10000000</v>
      </c>
      <c r="G59" s="113"/>
      <c r="H59" s="113"/>
      <c r="I59" s="113"/>
      <c r="J59" s="113"/>
      <c r="K59" s="113"/>
      <c r="L59" s="115"/>
      <c r="M59" s="131">
        <v>30000000</v>
      </c>
      <c r="N59" s="114"/>
    </row>
    <row r="60" spans="2:14" ht="60.75" thickBot="1" x14ac:dyDescent="0.3">
      <c r="B60" s="99">
        <v>29</v>
      </c>
      <c r="C60" s="4" t="s">
        <v>184</v>
      </c>
      <c r="D60" s="5" t="s">
        <v>336</v>
      </c>
      <c r="E60" s="101" t="s">
        <v>335</v>
      </c>
      <c r="F60" s="5" t="s">
        <v>334</v>
      </c>
      <c r="G60" s="5" t="s">
        <v>333</v>
      </c>
      <c r="H60" s="101" t="s">
        <v>332</v>
      </c>
      <c r="I60" s="5" t="s">
        <v>331</v>
      </c>
      <c r="J60" s="101" t="s">
        <v>337</v>
      </c>
      <c r="K60" s="87"/>
      <c r="L60" s="98" t="s">
        <v>336</v>
      </c>
      <c r="M60" s="95"/>
      <c r="N60" s="98" t="s">
        <v>172</v>
      </c>
    </row>
    <row r="61" spans="2:14" ht="15.75" thickBot="1" x14ac:dyDescent="0.3">
      <c r="B61" s="125"/>
      <c r="C61" s="83"/>
      <c r="D61" s="96">
        <v>20000000</v>
      </c>
      <c r="E61" s="87"/>
      <c r="F61" s="96">
        <v>42000000</v>
      </c>
      <c r="G61" s="96">
        <v>40300000</v>
      </c>
      <c r="H61" s="96">
        <v>15000000</v>
      </c>
      <c r="I61" s="87"/>
      <c r="J61" s="87"/>
      <c r="K61" s="87"/>
      <c r="L61" s="95">
        <v>20000000</v>
      </c>
      <c r="M61" s="95">
        <v>20000000</v>
      </c>
      <c r="N61" s="97"/>
    </row>
    <row r="62" spans="2:14" ht="48.75" thickBot="1" x14ac:dyDescent="0.3">
      <c r="B62" s="99">
        <v>30</v>
      </c>
      <c r="C62" s="4" t="s">
        <v>338</v>
      </c>
      <c r="D62" s="4" t="s">
        <v>339</v>
      </c>
      <c r="E62" s="4" t="s">
        <v>340</v>
      </c>
      <c r="F62" s="4" t="s">
        <v>341</v>
      </c>
      <c r="G62" s="84"/>
      <c r="H62" s="84"/>
      <c r="I62" s="84"/>
      <c r="J62" s="84"/>
      <c r="K62" s="84"/>
      <c r="L62" s="94" t="s">
        <v>339</v>
      </c>
      <c r="M62" s="145"/>
      <c r="N62" s="94" t="s">
        <v>172</v>
      </c>
    </row>
    <row r="63" spans="2:14" ht="15.75" thickBot="1" x14ac:dyDescent="0.3">
      <c r="B63" s="127"/>
      <c r="C63" s="91"/>
      <c r="D63" s="130">
        <v>10000000</v>
      </c>
      <c r="E63" s="111">
        <v>20000000</v>
      </c>
      <c r="F63" s="113"/>
      <c r="G63" s="113"/>
      <c r="H63" s="113"/>
      <c r="I63" s="113"/>
      <c r="J63" s="113"/>
      <c r="K63" s="113"/>
      <c r="L63" s="131">
        <v>10000000</v>
      </c>
      <c r="M63" s="131">
        <v>10000000</v>
      </c>
      <c r="N63" s="114"/>
    </row>
    <row r="64" spans="2:14" ht="36.75" thickBot="1" x14ac:dyDescent="0.3">
      <c r="B64" s="99">
        <v>31</v>
      </c>
      <c r="C64" s="4" t="s">
        <v>185</v>
      </c>
      <c r="D64" s="4" t="s">
        <v>342</v>
      </c>
      <c r="E64" s="4" t="s">
        <v>343</v>
      </c>
      <c r="F64" s="88"/>
      <c r="G64" s="88"/>
      <c r="H64" s="88"/>
      <c r="I64" s="88"/>
      <c r="J64" s="88"/>
      <c r="K64" s="88"/>
      <c r="L64" s="94" t="s">
        <v>186</v>
      </c>
      <c r="M64" s="145"/>
      <c r="N64" s="94" t="s">
        <v>187</v>
      </c>
    </row>
    <row r="65" spans="2:14" ht="15.75" thickBot="1" x14ac:dyDescent="0.3">
      <c r="B65" s="127"/>
      <c r="C65" s="91"/>
      <c r="D65" s="130">
        <v>9000000</v>
      </c>
      <c r="E65" s="111">
        <v>40000000</v>
      </c>
      <c r="F65" s="113"/>
      <c r="G65" s="113"/>
      <c r="H65" s="113"/>
      <c r="I65" s="113"/>
      <c r="J65" s="113"/>
      <c r="K65" s="113"/>
      <c r="L65" s="131">
        <v>9000000</v>
      </c>
      <c r="M65" s="131">
        <v>9000000</v>
      </c>
      <c r="N65" s="114"/>
    </row>
    <row r="66" spans="2:14" ht="48.75" thickBot="1" x14ac:dyDescent="0.3">
      <c r="B66" s="99">
        <v>32</v>
      </c>
      <c r="C66" s="4" t="s">
        <v>345</v>
      </c>
      <c r="D66" s="11" t="s">
        <v>344</v>
      </c>
      <c r="E66" s="89" t="s">
        <v>188</v>
      </c>
      <c r="F66" s="4" t="s">
        <v>189</v>
      </c>
      <c r="G66" s="4" t="s">
        <v>346</v>
      </c>
      <c r="H66" s="4" t="s">
        <v>347</v>
      </c>
      <c r="I66" s="88"/>
      <c r="J66" s="88"/>
      <c r="K66" s="88"/>
      <c r="L66" s="100" t="s">
        <v>344</v>
      </c>
      <c r="M66" s="145"/>
      <c r="N66" s="94" t="s">
        <v>348</v>
      </c>
    </row>
    <row r="67" spans="2:14" ht="15.75" thickBot="1" x14ac:dyDescent="0.3">
      <c r="B67" s="122"/>
      <c r="C67" s="111"/>
      <c r="D67" s="111">
        <v>30000000</v>
      </c>
      <c r="E67" s="111">
        <v>2000000</v>
      </c>
      <c r="F67" s="111">
        <v>2000000</v>
      </c>
      <c r="G67" s="111">
        <v>2000000</v>
      </c>
      <c r="H67" s="111">
        <v>20000000</v>
      </c>
      <c r="I67" s="138"/>
      <c r="J67" s="138"/>
      <c r="K67" s="138"/>
      <c r="L67" s="131">
        <v>30000000</v>
      </c>
      <c r="M67" s="131">
        <v>30000000</v>
      </c>
      <c r="N67" s="114"/>
    </row>
    <row r="68" spans="2:14" ht="84.75" thickBot="1" x14ac:dyDescent="0.3">
      <c r="B68" s="99">
        <v>33</v>
      </c>
      <c r="C68" s="4" t="s">
        <v>190</v>
      </c>
      <c r="D68" s="4" t="s">
        <v>191</v>
      </c>
      <c r="E68" s="4" t="s">
        <v>349</v>
      </c>
      <c r="F68" s="4" t="s">
        <v>350</v>
      </c>
      <c r="G68" s="4" t="s">
        <v>351</v>
      </c>
      <c r="H68" s="4" t="s">
        <v>352</v>
      </c>
      <c r="I68" s="4" t="s">
        <v>353</v>
      </c>
      <c r="J68" s="4" t="s">
        <v>192</v>
      </c>
      <c r="K68" s="88"/>
      <c r="L68" s="94" t="s">
        <v>191</v>
      </c>
      <c r="M68" s="145"/>
      <c r="N68" s="94" t="s">
        <v>172</v>
      </c>
    </row>
    <row r="69" spans="2:14" ht="15.75" thickBot="1" x14ac:dyDescent="0.3">
      <c r="B69" s="136"/>
      <c r="C69" s="113"/>
      <c r="D69" s="111">
        <v>40000000</v>
      </c>
      <c r="E69" s="111">
        <v>30000000</v>
      </c>
      <c r="F69" s="111">
        <v>5000000</v>
      </c>
      <c r="G69" s="111">
        <v>2500000</v>
      </c>
      <c r="H69" s="111">
        <v>30000000</v>
      </c>
      <c r="I69" s="153"/>
      <c r="J69" s="111">
        <v>9000000</v>
      </c>
      <c r="K69" s="113"/>
      <c r="L69" s="131">
        <v>40000000</v>
      </c>
      <c r="M69" s="131">
        <v>40000000</v>
      </c>
      <c r="N69" s="114"/>
    </row>
    <row r="70" spans="2:14" ht="72.75" thickBot="1" x14ac:dyDescent="0.3">
      <c r="B70" s="99">
        <v>34</v>
      </c>
      <c r="C70" s="4" t="s">
        <v>193</v>
      </c>
      <c r="D70" s="4" t="s">
        <v>354</v>
      </c>
      <c r="E70" s="4" t="s">
        <v>355</v>
      </c>
      <c r="F70" s="4" t="s">
        <v>194</v>
      </c>
      <c r="G70" s="4" t="s">
        <v>195</v>
      </c>
      <c r="H70" s="88"/>
      <c r="I70" s="4" t="s">
        <v>196</v>
      </c>
      <c r="J70" s="88"/>
      <c r="K70" s="88"/>
      <c r="L70" s="94" t="s">
        <v>196</v>
      </c>
      <c r="M70" s="145"/>
      <c r="N70" s="100" t="s">
        <v>290</v>
      </c>
    </row>
    <row r="71" spans="2:14" ht="15.75" thickBot="1" x14ac:dyDescent="0.3">
      <c r="B71" s="140"/>
      <c r="C71" s="141"/>
      <c r="D71" s="111">
        <v>1500000</v>
      </c>
      <c r="E71" s="111">
        <v>1500000</v>
      </c>
      <c r="F71" s="111">
        <v>1500000</v>
      </c>
      <c r="G71" s="138"/>
      <c r="H71" s="138"/>
      <c r="I71" s="111"/>
      <c r="J71" s="138"/>
      <c r="K71" s="138"/>
      <c r="L71" s="131" t="s">
        <v>20</v>
      </c>
      <c r="M71" s="131"/>
      <c r="N71" s="139"/>
    </row>
    <row r="72" spans="2:14" ht="53.25" customHeight="1" thickBot="1" x14ac:dyDescent="0.3">
      <c r="B72" s="99">
        <v>35</v>
      </c>
      <c r="C72" s="4" t="s">
        <v>197</v>
      </c>
      <c r="D72" s="89" t="s">
        <v>198</v>
      </c>
      <c r="E72" s="89" t="s">
        <v>356</v>
      </c>
      <c r="F72" s="89" t="s">
        <v>357</v>
      </c>
      <c r="G72" s="89" t="s">
        <v>199</v>
      </c>
      <c r="H72" s="88"/>
      <c r="I72" s="89" t="s">
        <v>358</v>
      </c>
      <c r="J72" s="88"/>
      <c r="K72" s="88"/>
      <c r="L72" s="108" t="s">
        <v>198</v>
      </c>
      <c r="M72" s="145"/>
      <c r="N72" s="109"/>
    </row>
    <row r="73" spans="2:14" ht="15.75" thickBot="1" x14ac:dyDescent="0.3">
      <c r="B73" s="137"/>
      <c r="C73" s="138"/>
      <c r="D73" s="111">
        <v>50000000</v>
      </c>
      <c r="E73" s="111">
        <v>16000000</v>
      </c>
      <c r="F73" s="111">
        <v>16000000</v>
      </c>
      <c r="G73" s="111">
        <v>3000000</v>
      </c>
      <c r="H73" s="138"/>
      <c r="I73" s="111"/>
      <c r="J73" s="138"/>
      <c r="K73" s="138"/>
      <c r="L73" s="131">
        <v>50000000</v>
      </c>
      <c r="M73" s="131">
        <v>50000000</v>
      </c>
      <c r="N73" s="139"/>
    </row>
    <row r="74" spans="2:14" x14ac:dyDescent="0.25">
      <c r="C74" t="s">
        <v>5</v>
      </c>
      <c r="D74" s="151">
        <f t="shared" ref="D74:K74" si="0">D9+D11+D13+D15+D17+D19+D21+D23+D25+D27+D29+D31+D33+D35+D37+D39+D41+D43+D45+D47+D49+D51+D53+D55+D57+D59+D61+D63+D65+D67+D69+D71+D73</f>
        <v>666550000</v>
      </c>
      <c r="E74" s="151">
        <f t="shared" si="0"/>
        <v>455250000</v>
      </c>
      <c r="F74" s="151">
        <f t="shared" si="0"/>
        <v>380150000</v>
      </c>
      <c r="G74" s="151">
        <f t="shared" si="0"/>
        <v>401150000</v>
      </c>
      <c r="H74" s="151">
        <f t="shared" si="0"/>
        <v>359800000</v>
      </c>
      <c r="I74" s="151">
        <f t="shared" si="0"/>
        <v>60100000</v>
      </c>
      <c r="J74" s="151">
        <f t="shared" si="0"/>
        <v>39150000</v>
      </c>
      <c r="K74" s="151">
        <f t="shared" si="0"/>
        <v>14000000</v>
      </c>
      <c r="M74" s="151">
        <f>SUM(M7:M71)</f>
        <v>540000000</v>
      </c>
    </row>
    <row r="75" spans="2:14" x14ac:dyDescent="0.25">
      <c r="C75" t="s">
        <v>359</v>
      </c>
      <c r="D75" s="142">
        <f>D74</f>
        <v>666550000</v>
      </c>
      <c r="E75" s="142">
        <f>D75+E74</f>
        <v>1121800000</v>
      </c>
      <c r="F75" s="142">
        <f t="shared" ref="F75:K75" si="1">E75+F74</f>
        <v>1501950000</v>
      </c>
      <c r="G75" s="142">
        <f t="shared" si="1"/>
        <v>1903100000</v>
      </c>
      <c r="H75" s="142">
        <f t="shared" si="1"/>
        <v>2262900000</v>
      </c>
      <c r="I75" s="142">
        <f t="shared" si="1"/>
        <v>2323000000</v>
      </c>
      <c r="J75" s="142">
        <f t="shared" si="1"/>
        <v>2362150000</v>
      </c>
      <c r="K75" s="142">
        <f t="shared" si="1"/>
        <v>2376150000</v>
      </c>
      <c r="M75" s="156">
        <f>M74/K75</f>
        <v>0.22725838015276814</v>
      </c>
    </row>
  </sheetData>
  <mergeCells count="3">
    <mergeCell ref="D4:H4"/>
    <mergeCell ref="I4:K4"/>
    <mergeCell ref="L4:N4"/>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32 Cadre L ogiqueBfssam 1er</vt:lpstr>
      <vt:lpstr>33. Coût estimatif du PCD</vt:lpstr>
      <vt:lpstr>64 bis Bfsamm 1er</vt:lpstr>
      <vt:lpstr>'32 Cadre L ogiqueBfssam 1er'!_bookmark56</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Ludger NGAMANI</cp:lastModifiedBy>
  <cp:lastPrinted>2024-08-14T16:24:42Z</cp:lastPrinted>
  <dcterms:created xsi:type="dcterms:W3CDTF">2018-08-13T09:55:38Z</dcterms:created>
  <dcterms:modified xsi:type="dcterms:W3CDTF">2024-08-24T22:48:48Z</dcterms:modified>
</cp:coreProperties>
</file>